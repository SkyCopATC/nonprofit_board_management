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uild Your Club\2026_BYC\AI For Nonprofits\BYC_Compliance Mastery Course\"/>
    </mc:Choice>
  </mc:AlternateContent>
  <xr:revisionPtr revIDLastSave="0" documentId="8_{84E97F1E-6A28-4196-8351-AC834C4A5E8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Dashboard" sheetId="1" r:id="rId1"/>
    <sheet name="State Requirements" sheetId="2" r:id="rId2"/>
    <sheet name="Registration Status" sheetId="3" r:id="rId3"/>
    <sheet name="Renewal Calendar" sheetId="4" r:id="rId4"/>
    <sheet name="Document Library" sheetId="5" r:id="rId5"/>
    <sheet name="Compliance Repor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6" l="1"/>
  <c r="B10" i="6"/>
  <c r="B9" i="6"/>
  <c r="B8" i="6"/>
  <c r="B7" i="6"/>
  <c r="B12" i="6" s="1"/>
  <c r="B6" i="6"/>
  <c r="F3" i="4"/>
  <c r="E3" i="4"/>
  <c r="G3" i="4" s="1"/>
  <c r="B19" i="1"/>
  <c r="B18" i="1"/>
  <c r="B17" i="1"/>
  <c r="B16" i="1"/>
  <c r="B15" i="1"/>
  <c r="B14" i="1"/>
</calcChain>
</file>

<file path=xl/sharedStrings.xml><?xml version="1.0" encoding="utf-8"?>
<sst xmlns="http://schemas.openxmlformats.org/spreadsheetml/2006/main" count="567" uniqueCount="288">
  <si>
    <t>MULTI-STATE REGISTRATION TRACKER</t>
  </si>
  <si>
    <t>Compliance Management Tool for Nonprofits</t>
  </si>
  <si>
    <t>ORGANIZATION INFORMATION</t>
  </si>
  <si>
    <t>Organization Name:</t>
  </si>
  <si>
    <t>EIN:</t>
  </si>
  <si>
    <t>Incorporation State:</t>
  </si>
  <si>
    <t>Incorporation Date:</t>
  </si>
  <si>
    <t>Mailing Address:</t>
  </si>
  <si>
    <t>Phone:</t>
  </si>
  <si>
    <t>City, State, ZIP:</t>
  </si>
  <si>
    <t>Email:</t>
  </si>
  <si>
    <t>Website:</t>
  </si>
  <si>
    <t>Fiscal Year End:</t>
  </si>
  <si>
    <t>Primary Contact:</t>
  </si>
  <si>
    <t>Title:</t>
  </si>
  <si>
    <t>COMPLIANCE SUMMARY</t>
  </si>
  <si>
    <t>Metric</t>
  </si>
  <si>
    <t>Count</t>
  </si>
  <si>
    <t>Status</t>
  </si>
  <si>
    <t>States Requiring Registration</t>
  </si>
  <si>
    <t>States Currently Registered</t>
  </si>
  <si>
    <t>Pending Registrations</t>
  </si>
  <si>
    <t>Renewals Due (Next 90 Days)</t>
  </si>
  <si>
    <t>Overdue Renewals</t>
  </si>
  <si>
    <t>Total Registration Fees Paid</t>
  </si>
  <si>
    <t>QUICK ACTIONS</t>
  </si>
  <si>
    <t>1. Review 'State Requirements' tab to identify target states</t>
  </si>
  <si>
    <t>2. Update 'Registration Status' tab as you complete registrations</t>
  </si>
  <si>
    <t>3. Check 'Renewal Calendar' weekly for upcoming deadlines</t>
  </si>
  <si>
    <t>4. Store documents in 'Document Library' tab</t>
  </si>
  <si>
    <t>5. Generate 'Compliance Reports' for board meetings</t>
  </si>
  <si>
    <t>STATE REQUIREMENTS REFERENCE</t>
  </si>
  <si>
    <t>State</t>
  </si>
  <si>
    <t>Abbr</t>
  </si>
  <si>
    <t>Registration Required?</t>
  </si>
  <si>
    <t>Threshold</t>
  </si>
  <si>
    <t>Initial Fee</t>
  </si>
  <si>
    <t>Renewal Fee</t>
  </si>
  <si>
    <t>Form Type</t>
  </si>
  <si>
    <t>Portal URL</t>
  </si>
  <si>
    <t>Notes</t>
  </si>
  <si>
    <t>Target State?</t>
  </si>
  <si>
    <t>Alabama</t>
  </si>
  <si>
    <t>AL</t>
  </si>
  <si>
    <t>Yes</t>
  </si>
  <si>
    <t>$0</t>
  </si>
  <si>
    <t>$25</t>
  </si>
  <si>
    <t>URS + AL Supplement</t>
  </si>
  <si>
    <t>https://www.ago.alabama.gov/</t>
  </si>
  <si>
    <t>Immediate registration required</t>
  </si>
  <si>
    <t>Alaska</t>
  </si>
  <si>
    <t>AK</t>
  </si>
  <si>
    <t>$50</t>
  </si>
  <si>
    <t>URS</t>
  </si>
  <si>
    <t>https://www.commerce.alaska.gov/</t>
  </si>
  <si>
    <t>Arkansas</t>
  </si>
  <si>
    <t>AR</t>
  </si>
  <si>
    <t>$25,000</t>
  </si>
  <si>
    <t>URS + AR Supplement</t>
  </si>
  <si>
    <t>https://www.arkansasag.gov/</t>
  </si>
  <si>
    <t>Based on total donations</t>
  </si>
  <si>
    <t>California</t>
  </si>
  <si>
    <t>CA</t>
  </si>
  <si>
    <t>CT-1 (AG Registry)</t>
  </si>
  <si>
    <t>https://oag.ca.gov/charities</t>
  </si>
  <si>
    <t>Unique CA form, not URS</t>
  </si>
  <si>
    <t>Colorado</t>
  </si>
  <si>
    <t>CO</t>
  </si>
  <si>
    <t>$50,000</t>
  </si>
  <si>
    <t>$10</t>
  </si>
  <si>
    <t>https://www.sos.state.co.us/</t>
  </si>
  <si>
    <t>Connecticut</t>
  </si>
  <si>
    <t>CT</t>
  </si>
  <si>
    <t>https://portal.ct.gov/AG</t>
  </si>
  <si>
    <t>Delaware</t>
  </si>
  <si>
    <t>DE</t>
  </si>
  <si>
    <t>https://attorneygeneral.delaware.gov/</t>
  </si>
  <si>
    <t>Florida</t>
  </si>
  <si>
    <t>FL</t>
  </si>
  <si>
    <t>$400</t>
  </si>
  <si>
    <t>Form CH-1500</t>
  </si>
  <si>
    <t>https://dos.myflorida.com/</t>
  </si>
  <si>
    <t>Unique FL form, not URS</t>
  </si>
  <si>
    <t>Georgia</t>
  </si>
  <si>
    <t>GA</t>
  </si>
  <si>
    <t>$35</t>
  </si>
  <si>
    <t>URS + GA Supplement</t>
  </si>
  <si>
    <t>https://sos.ga.gov/</t>
  </si>
  <si>
    <t>Hawaii</t>
  </si>
  <si>
    <t>HI</t>
  </si>
  <si>
    <t>https://cca.hawaii.gov/</t>
  </si>
  <si>
    <t>Idaho</t>
  </si>
  <si>
    <t>ID</t>
  </si>
  <si>
    <t>No</t>
  </si>
  <si>
    <t>N/A</t>
  </si>
  <si>
    <t>No state registration required</t>
  </si>
  <si>
    <t>Illinois</t>
  </si>
  <si>
    <t>IL</t>
  </si>
  <si>
    <t>$15</t>
  </si>
  <si>
    <t>URS + IL Supplement</t>
  </si>
  <si>
    <t>https://www.illinoisattorneygeneral.gov/</t>
  </si>
  <si>
    <t>Indiana</t>
  </si>
  <si>
    <t>IN</t>
  </si>
  <si>
    <t>Iowa</t>
  </si>
  <si>
    <t>IA</t>
  </si>
  <si>
    <t>Kansas</t>
  </si>
  <si>
    <t>KS</t>
  </si>
  <si>
    <t>https://www.kssos.org/</t>
  </si>
  <si>
    <t>Kentucky</t>
  </si>
  <si>
    <t>KY</t>
  </si>
  <si>
    <t>$5,000</t>
  </si>
  <si>
    <t>https://ag.ky.gov/</t>
  </si>
  <si>
    <t>Louisiana</t>
  </si>
  <si>
    <t>LA</t>
  </si>
  <si>
    <t>$75</t>
  </si>
  <si>
    <t>URS + LA Supplement</t>
  </si>
  <si>
    <t>https://www.ag.state.la.us/</t>
  </si>
  <si>
    <t>Maine</t>
  </si>
  <si>
    <t>ME</t>
  </si>
  <si>
    <t>https://www.maine.gov/ag/</t>
  </si>
  <si>
    <t>Maryland</t>
  </si>
  <si>
    <t>MD</t>
  </si>
  <si>
    <t>URS + MD Supplement</t>
  </si>
  <si>
    <t>https://www.marylandattorneygeneral.gov/</t>
  </si>
  <si>
    <t>Massachusetts</t>
  </si>
  <si>
    <t>MA</t>
  </si>
  <si>
    <t>$100</t>
  </si>
  <si>
    <t>URS + MA Supplement</t>
  </si>
  <si>
    <t>https://www.mass.gov/ago</t>
  </si>
  <si>
    <t>Michigan</t>
  </si>
  <si>
    <t>MI</t>
  </si>
  <si>
    <t>https://www.michigan.gov/ag</t>
  </si>
  <si>
    <t>Minnesota</t>
  </si>
  <si>
    <t>MN</t>
  </si>
  <si>
    <t>URS + MN Supplement</t>
  </si>
  <si>
    <t>https://www.ag.state.mn.us/</t>
  </si>
  <si>
    <t>Mississippi</t>
  </si>
  <si>
    <t>MS</t>
  </si>
  <si>
    <t>https://www.sos.ms.gov/</t>
  </si>
  <si>
    <t>Missouri</t>
  </si>
  <si>
    <t>MO</t>
  </si>
  <si>
    <t>https://www.sos.mo.gov/</t>
  </si>
  <si>
    <t>Montana</t>
  </si>
  <si>
    <t>MT</t>
  </si>
  <si>
    <t>Nebraska</t>
  </si>
  <si>
    <t>NE</t>
  </si>
  <si>
    <t>Nevada</t>
  </si>
  <si>
    <t>NV</t>
  </si>
  <si>
    <t>https://www.nvsos.gov/</t>
  </si>
  <si>
    <t>New Hampshire</t>
  </si>
  <si>
    <t>NH</t>
  </si>
  <si>
    <t>https://www.doj.nh.gov/</t>
  </si>
  <si>
    <t>New Jersey</t>
  </si>
  <si>
    <t>NJ</t>
  </si>
  <si>
    <t>$10,000</t>
  </si>
  <si>
    <t>$30</t>
  </si>
  <si>
    <t>CRI-300R</t>
  </si>
  <si>
    <t>https://www.njconsumeraffairs.gov/</t>
  </si>
  <si>
    <t>Unique NJ form, not URS</t>
  </si>
  <si>
    <t>New Mexico</t>
  </si>
  <si>
    <t>NM</t>
  </si>
  <si>
    <t>https://www.nmag.gov/</t>
  </si>
  <si>
    <t>New York</t>
  </si>
  <si>
    <t>NY</t>
  </si>
  <si>
    <t>CHAR500</t>
  </si>
  <si>
    <t>https://www.charitiesnys.com/</t>
  </si>
  <si>
    <t>Unique NY form, not URS</t>
  </si>
  <si>
    <t>North Carolina</t>
  </si>
  <si>
    <t>NC</t>
  </si>
  <si>
    <t>$200</t>
  </si>
  <si>
    <t>URS + NC Supplement</t>
  </si>
  <si>
    <t>https://www.sosnc.gov/</t>
  </si>
  <si>
    <t>North Dakota</t>
  </si>
  <si>
    <t>ND</t>
  </si>
  <si>
    <t>https://www.ag.nd.gov/</t>
  </si>
  <si>
    <t>Ohio</t>
  </si>
  <si>
    <t>OH</t>
  </si>
  <si>
    <t>URS + OH Supplement</t>
  </si>
  <si>
    <t>https://www.ohioattorneygeneral.gov/</t>
  </si>
  <si>
    <t>Oklahoma</t>
  </si>
  <si>
    <t>OK</t>
  </si>
  <si>
    <t>https://www.sos.ok.gov/</t>
  </si>
  <si>
    <t>Oregon</t>
  </si>
  <si>
    <t>OR</t>
  </si>
  <si>
    <t>https://www.doj.state.or.us/</t>
  </si>
  <si>
    <t>Pennsylvania</t>
  </si>
  <si>
    <t>PA</t>
  </si>
  <si>
    <t>URS + PA Supplement</t>
  </si>
  <si>
    <t>https://www.dos.pa.gov/</t>
  </si>
  <si>
    <t>Rhode Island</t>
  </si>
  <si>
    <t>RI</t>
  </si>
  <si>
    <t>$85</t>
  </si>
  <si>
    <t>https://www.dbr.ri.gov/</t>
  </si>
  <si>
    <t>South Carolina</t>
  </si>
  <si>
    <t>SC</t>
  </si>
  <si>
    <t>https://www.sos.sc.gov/</t>
  </si>
  <si>
    <t>South Dakota</t>
  </si>
  <si>
    <t>SD</t>
  </si>
  <si>
    <t>Tennessee</t>
  </si>
  <si>
    <t>TN</t>
  </si>
  <si>
    <t>$30,000</t>
  </si>
  <si>
    <t>URS + TN Supplement</t>
  </si>
  <si>
    <t>https://www.tn.gov/sos</t>
  </si>
  <si>
    <t>Texas</t>
  </si>
  <si>
    <t>TX</t>
  </si>
  <si>
    <t>Utah</t>
  </si>
  <si>
    <t>UT</t>
  </si>
  <si>
    <t>https://dcp.utah.gov/</t>
  </si>
  <si>
    <t>Vermont</t>
  </si>
  <si>
    <t>VT</t>
  </si>
  <si>
    <t>Virginia</t>
  </si>
  <si>
    <t>VA</t>
  </si>
  <si>
    <t>URS + VA Supplement</t>
  </si>
  <si>
    <t>https://www.vdacs.virginia.gov/</t>
  </si>
  <si>
    <t>Washington</t>
  </si>
  <si>
    <t>WA</t>
  </si>
  <si>
    <t>$60</t>
  </si>
  <si>
    <t>URS + WA Supplement</t>
  </si>
  <si>
    <t>https://www.sos.wa.gov/</t>
  </si>
  <si>
    <t>West Virginia</t>
  </si>
  <si>
    <t>WV</t>
  </si>
  <si>
    <t>WV Form</t>
  </si>
  <si>
    <t>https://www.sos.wv.gov/</t>
  </si>
  <si>
    <t>Unique WV form, not URS</t>
  </si>
  <si>
    <t>Wisconsin</t>
  </si>
  <si>
    <t>WI</t>
  </si>
  <si>
    <t>https://www.doj.state.wi.us/</t>
  </si>
  <si>
    <t>Wyoming</t>
  </si>
  <si>
    <t>WY</t>
  </si>
  <si>
    <t>REGISTRATION STATUS TRACKER</t>
  </si>
  <si>
    <t>Registration Status</t>
  </si>
  <si>
    <t>Registration Date</t>
  </si>
  <si>
    <t>Registration Number</t>
  </si>
  <si>
    <t>Initial Fee Paid</t>
  </si>
  <si>
    <t>Next Renewal Date</t>
  </si>
  <si>
    <t>Registered</t>
  </si>
  <si>
    <t>01/15/2025</t>
  </si>
  <si>
    <t>CT-123456</t>
  </si>
  <si>
    <t>01/15/2026</t>
  </si>
  <si>
    <t>AG Registry</t>
  </si>
  <si>
    <t>Pending</t>
  </si>
  <si>
    <t>Waiting for approval</t>
  </si>
  <si>
    <t>Not Started</t>
  </si>
  <si>
    <t>Target for Q2 2026</t>
  </si>
  <si>
    <t>RENEWAL CALENDAR</t>
  </si>
  <si>
    <t>Renewal Frequency</t>
  </si>
  <si>
    <t>Days Until Due</t>
  </si>
  <si>
    <t>Action Required</t>
  </si>
  <si>
    <t>Annual</t>
  </si>
  <si>
    <t>DOCUMENT LIBRARY</t>
  </si>
  <si>
    <t>Document Type</t>
  </si>
  <si>
    <t>File Name</t>
  </si>
  <si>
    <t>File Location</t>
  </si>
  <si>
    <t>Date Updated</t>
  </si>
  <si>
    <t>Form 990</t>
  </si>
  <si>
    <t>Federal</t>
  </si>
  <si>
    <t>Form990_2024.pdf</t>
  </si>
  <si>
    <t>Google Drive/Compliance</t>
  </si>
  <si>
    <t>12/15/2024</t>
  </si>
  <si>
    <t>Most recent</t>
  </si>
  <si>
    <t>Determination Letter</t>
  </si>
  <si>
    <t>IRS_Determination.pdf</t>
  </si>
  <si>
    <t>03/01/2023</t>
  </si>
  <si>
    <t>Original</t>
  </si>
  <si>
    <t>CA_URS_2025.pdf</t>
  </si>
  <si>
    <t>Google Drive/State Registrations/CA</t>
  </si>
  <si>
    <t>Submitted</t>
  </si>
  <si>
    <t>COMPLIANCE REPORTS</t>
  </si>
  <si>
    <t>Report Generated:</t>
  </si>
  <si>
    <t>05/06/2026</t>
  </si>
  <si>
    <t>EXECUTIVE SUMMARY</t>
  </si>
  <si>
    <t>Total States Requiring Registration:</t>
  </si>
  <si>
    <t>States Currently Registered:</t>
  </si>
  <si>
    <t>Pending Registrations:</t>
  </si>
  <si>
    <t>Renewals Due (Next 90 Days):</t>
  </si>
  <si>
    <t>Overdue Renewals:</t>
  </si>
  <si>
    <t>Total Fees Paid YTD:</t>
  </si>
  <si>
    <t>Compliance Score:</t>
  </si>
  <si>
    <t>ACTION ITEMS</t>
  </si>
  <si>
    <t>Priority</t>
  </si>
  <si>
    <t>Action</t>
  </si>
  <si>
    <t>Due Date</t>
  </si>
  <si>
    <t>INSTRUCTIONS FOR BOARD REPORTING:</t>
  </si>
  <si>
    <t>1. Update this report monthly before board meetings</t>
  </si>
  <si>
    <t>2. Review Executive Summary for high-level compliance status</t>
  </si>
  <si>
    <t>3. Address any overdue renewals immediately</t>
  </si>
  <si>
    <t>4. Budget for upcoming registration fees</t>
  </si>
  <si>
    <t>5. Export this tab to PDF for board packet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</si>
</sst>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2"/>
      <color rgb="FFC08A2E"/>
      <name val="Calibri"/>
    </font>
    <font>
      <b/>
      <sz val="14"/>
      <color rgb="FF1F3A5F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alibri"/>
    </font>
    <font>
      <b/>
      <sz val="16"/>
      <color rgb="FFFFFFFF"/>
      <name val="Calibri"/>
    </font>
    <font>
      <b/>
      <sz val="12"/>
      <color rgb="FF1F3A5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E3F2FD"/>
        <bgColor rgb="FFE3F2FD"/>
      </patternFill>
    </fill>
    <fill>
      <patternFill patternType="solid">
        <fgColor rgb="FFC08A2E"/>
        <bgColor rgb="FFC08A2E"/>
      </patternFill>
    </fill>
    <fill>
      <patternFill patternType="solid">
        <fgColor rgb="FFD4EDDA"/>
        <bgColor rgb="FFD4EDDA"/>
      </patternFill>
    </fill>
    <fill>
      <patternFill patternType="solid">
        <fgColor rgb="FFFFEBEE"/>
        <bgColor rgb="FFFFEBEE"/>
      </patternFill>
    </fill>
    <fill>
      <patternFill patternType="solid">
        <fgColor rgb="FFE67E22"/>
        <bgColor rgb="FFE67E2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/>
    <xf numFmtId="0" fontId="0" fillId="3" borderId="0" xfId="0" applyFill="1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5" fillId="4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7" fillId="2" borderId="0" xfId="0" applyFont="1" applyFill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sqref="A1:F1"/>
    </sheetView>
  </sheetViews>
  <sheetFormatPr defaultRowHeight="14.25" x14ac:dyDescent="0.45"/>
  <cols>
    <col min="1" max="1" width="30" customWidth="1"/>
    <col min="2" max="2" width="20" customWidth="1"/>
    <col min="3" max="3" width="25" customWidth="1"/>
    <col min="4" max="4" width="20" customWidth="1"/>
    <col min="5" max="6" width="15" customWidth="1"/>
  </cols>
  <sheetData>
    <row r="1" spans="1:6" ht="30" customHeight="1" x14ac:dyDescent="0.45">
      <c r="A1" s="14" t="s">
        <v>0</v>
      </c>
      <c r="B1" s="13"/>
      <c r="C1" s="13"/>
      <c r="D1" s="13"/>
      <c r="E1" s="13"/>
      <c r="F1" s="13"/>
    </row>
    <row r="2" spans="1:6" ht="15.75" x14ac:dyDescent="0.5">
      <c r="A2" s="12" t="s">
        <v>1</v>
      </c>
      <c r="B2" s="13"/>
      <c r="C2" s="13"/>
      <c r="D2" s="13"/>
      <c r="E2" s="13"/>
      <c r="F2" s="13"/>
    </row>
    <row r="4" spans="1:6" ht="18" x14ac:dyDescent="0.55000000000000004">
      <c r="A4" s="15" t="s">
        <v>2</v>
      </c>
      <c r="B4" s="13"/>
      <c r="C4" s="13"/>
      <c r="D4" s="13"/>
      <c r="E4" s="13"/>
      <c r="F4" s="13"/>
    </row>
    <row r="5" spans="1:6" x14ac:dyDescent="0.45">
      <c r="A5" s="1" t="s">
        <v>3</v>
      </c>
      <c r="B5" s="2"/>
      <c r="C5" s="1" t="s">
        <v>4</v>
      </c>
      <c r="D5" s="2"/>
    </row>
    <row r="6" spans="1:6" x14ac:dyDescent="0.45">
      <c r="A6" s="1" t="s">
        <v>5</v>
      </c>
      <c r="B6" s="2"/>
      <c r="C6" s="1" t="s">
        <v>6</v>
      </c>
      <c r="D6" s="2"/>
    </row>
    <row r="7" spans="1:6" x14ac:dyDescent="0.45">
      <c r="A7" s="1" t="s">
        <v>7</v>
      </c>
      <c r="B7" s="2"/>
      <c r="C7" s="1" t="s">
        <v>8</v>
      </c>
      <c r="D7" s="2"/>
    </row>
    <row r="8" spans="1:6" x14ac:dyDescent="0.45">
      <c r="A8" s="1" t="s">
        <v>9</v>
      </c>
      <c r="B8" s="2"/>
      <c r="C8" s="1" t="s">
        <v>10</v>
      </c>
      <c r="D8" s="2"/>
    </row>
    <row r="9" spans="1:6" x14ac:dyDescent="0.45">
      <c r="A9" s="1" t="s">
        <v>11</v>
      </c>
      <c r="B9" s="2"/>
      <c r="C9" s="1" t="s">
        <v>12</v>
      </c>
      <c r="D9" s="2"/>
    </row>
    <row r="10" spans="1:6" x14ac:dyDescent="0.45">
      <c r="A10" s="1" t="s">
        <v>13</v>
      </c>
      <c r="B10" s="2"/>
      <c r="C10" s="1" t="s">
        <v>14</v>
      </c>
      <c r="D10" s="2"/>
    </row>
    <row r="12" spans="1:6" ht="18" x14ac:dyDescent="0.55000000000000004">
      <c r="A12" s="15" t="s">
        <v>15</v>
      </c>
      <c r="B12" s="13"/>
      <c r="C12" s="13"/>
      <c r="D12" s="13"/>
      <c r="E12" s="13"/>
      <c r="F12" s="13"/>
    </row>
    <row r="13" spans="1:6" x14ac:dyDescent="0.45">
      <c r="A13" s="3" t="s">
        <v>16</v>
      </c>
      <c r="B13" s="3" t="s">
        <v>17</v>
      </c>
      <c r="C13" s="3" t="s">
        <v>18</v>
      </c>
    </row>
    <row r="14" spans="1:6" x14ac:dyDescent="0.45">
      <c r="A14" t="s">
        <v>19</v>
      </c>
      <c r="B14" s="4">
        <f>COUNTIF('State Requirements'!C:C,"Yes")</f>
        <v>40</v>
      </c>
    </row>
    <row r="15" spans="1:6" x14ac:dyDescent="0.45">
      <c r="A15" t="s">
        <v>20</v>
      </c>
      <c r="B15" s="4">
        <f>COUNTIF('Registration Status'!D:D,"Registered")</f>
        <v>0</v>
      </c>
    </row>
    <row r="16" spans="1:6" x14ac:dyDescent="0.45">
      <c r="A16" t="s">
        <v>21</v>
      </c>
      <c r="B16" s="4">
        <f>COUNTIF('Registration Status'!D:D,"Pending")</f>
        <v>0</v>
      </c>
    </row>
    <row r="17" spans="1:6" x14ac:dyDescent="0.45">
      <c r="A17" t="s">
        <v>22</v>
      </c>
      <c r="B17" s="4">
        <f ca="1">COUNTIFS('Renewal Calendar'!D:D,"&gt;="&amp;TODAY(),'Renewal Calendar'!D:D,"&lt;="&amp;TODAY()+90)</f>
        <v>0</v>
      </c>
    </row>
    <row r="18" spans="1:6" x14ac:dyDescent="0.45">
      <c r="A18" t="s">
        <v>23</v>
      </c>
      <c r="B18" s="4">
        <f ca="1">COUNTIF('Renewal Calendar'!E:E,"OVERDUE")</f>
        <v>0</v>
      </c>
    </row>
    <row r="19" spans="1:6" x14ac:dyDescent="0.45">
      <c r="A19" t="s">
        <v>24</v>
      </c>
      <c r="B19" s="4">
        <f>SUM('Registration Status'!F:F)</f>
        <v>0</v>
      </c>
    </row>
    <row r="21" spans="1:6" ht="18" x14ac:dyDescent="0.55000000000000004">
      <c r="A21" s="15" t="s">
        <v>25</v>
      </c>
      <c r="B21" s="13"/>
      <c r="C21" s="13"/>
      <c r="D21" s="13"/>
      <c r="E21" s="13"/>
      <c r="F21" s="13"/>
    </row>
    <row r="22" spans="1:6" x14ac:dyDescent="0.45">
      <c r="A22" s="5" t="s">
        <v>26</v>
      </c>
    </row>
    <row r="23" spans="1:6" x14ac:dyDescent="0.45">
      <c r="A23" s="5" t="s">
        <v>27</v>
      </c>
    </row>
    <row r="24" spans="1:6" x14ac:dyDescent="0.45">
      <c r="A24" s="5" t="s">
        <v>28</v>
      </c>
    </row>
    <row r="25" spans="1:6" x14ac:dyDescent="0.45">
      <c r="A25" s="5" t="s">
        <v>29</v>
      </c>
    </row>
    <row r="26" spans="1:6" x14ac:dyDescent="0.45">
      <c r="A26" s="5" t="s">
        <v>30</v>
      </c>
    </row>
  </sheetData>
  <mergeCells count="5">
    <mergeCell ref="A2:F2"/>
    <mergeCell ref="A1:F1"/>
    <mergeCell ref="A12:F12"/>
    <mergeCell ref="A4:F4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workbookViewId="0"/>
  </sheetViews>
  <sheetFormatPr defaultRowHeight="14.25" x14ac:dyDescent="0.45"/>
  <cols>
    <col min="1" max="1" width="18" customWidth="1"/>
    <col min="2" max="2" width="8" customWidth="1"/>
    <col min="3" max="3" width="18" customWidth="1"/>
    <col min="4" max="6" width="12" customWidth="1"/>
    <col min="7" max="7" width="20" customWidth="1"/>
    <col min="8" max="8" width="35" customWidth="1"/>
    <col min="9" max="9" width="30" customWidth="1"/>
    <col min="10" max="10" width="15" customWidth="1"/>
  </cols>
  <sheetData>
    <row r="1" spans="1:10" ht="21" x14ac:dyDescent="0.65">
      <c r="A1" s="16" t="s">
        <v>31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8.5" x14ac:dyDescent="0.45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6" t="s">
        <v>40</v>
      </c>
      <c r="J2" s="6" t="s">
        <v>41</v>
      </c>
    </row>
    <row r="3" spans="1:10" x14ac:dyDescent="0.45">
      <c r="A3" s="7" t="s">
        <v>42</v>
      </c>
      <c r="B3" s="8" t="s">
        <v>43</v>
      </c>
      <c r="C3" s="9" t="s">
        <v>44</v>
      </c>
      <c r="D3" s="8" t="s">
        <v>45</v>
      </c>
      <c r="E3" s="8" t="s">
        <v>46</v>
      </c>
      <c r="F3" s="8" t="s">
        <v>46</v>
      </c>
      <c r="G3" s="7" t="s">
        <v>47</v>
      </c>
      <c r="H3" s="7" t="s">
        <v>48</v>
      </c>
      <c r="I3" s="7" t="s">
        <v>49</v>
      </c>
      <c r="J3" s="8"/>
    </row>
    <row r="4" spans="1:10" x14ac:dyDescent="0.45">
      <c r="A4" s="7" t="s">
        <v>50</v>
      </c>
      <c r="B4" s="8" t="s">
        <v>51</v>
      </c>
      <c r="C4" s="9" t="s">
        <v>44</v>
      </c>
      <c r="D4" s="8" t="s">
        <v>45</v>
      </c>
      <c r="E4" s="8" t="s">
        <v>52</v>
      </c>
      <c r="F4" s="8" t="s">
        <v>52</v>
      </c>
      <c r="G4" s="7" t="s">
        <v>53</v>
      </c>
      <c r="H4" s="7" t="s">
        <v>54</v>
      </c>
      <c r="I4" s="7" t="s">
        <v>49</v>
      </c>
      <c r="J4" s="8"/>
    </row>
    <row r="5" spans="1:10" x14ac:dyDescent="0.45">
      <c r="A5" s="7" t="s">
        <v>55</v>
      </c>
      <c r="B5" s="8" t="s">
        <v>56</v>
      </c>
      <c r="C5" s="9" t="s">
        <v>44</v>
      </c>
      <c r="D5" s="8" t="s">
        <v>57</v>
      </c>
      <c r="E5" s="8" t="s">
        <v>52</v>
      </c>
      <c r="F5" s="8" t="s">
        <v>52</v>
      </c>
      <c r="G5" s="7" t="s">
        <v>58</v>
      </c>
      <c r="H5" s="7" t="s">
        <v>59</v>
      </c>
      <c r="I5" s="7" t="s">
        <v>60</v>
      </c>
      <c r="J5" s="8"/>
    </row>
    <row r="6" spans="1:10" x14ac:dyDescent="0.45">
      <c r="A6" s="7" t="s">
        <v>61</v>
      </c>
      <c r="B6" s="8" t="s">
        <v>62</v>
      </c>
      <c r="C6" s="9" t="s">
        <v>44</v>
      </c>
      <c r="D6" s="8" t="s">
        <v>45</v>
      </c>
      <c r="E6" s="8" t="s">
        <v>45</v>
      </c>
      <c r="F6" s="8" t="s">
        <v>45</v>
      </c>
      <c r="G6" s="7" t="s">
        <v>63</v>
      </c>
      <c r="H6" s="7" t="s">
        <v>64</v>
      </c>
      <c r="I6" s="7" t="s">
        <v>65</v>
      </c>
      <c r="J6" s="8"/>
    </row>
    <row r="7" spans="1:10" x14ac:dyDescent="0.45">
      <c r="A7" s="7" t="s">
        <v>66</v>
      </c>
      <c r="B7" s="8" t="s">
        <v>67</v>
      </c>
      <c r="C7" s="9" t="s">
        <v>44</v>
      </c>
      <c r="D7" s="8" t="s">
        <v>68</v>
      </c>
      <c r="E7" s="8" t="s">
        <v>69</v>
      </c>
      <c r="F7" s="8" t="s">
        <v>69</v>
      </c>
      <c r="G7" s="7" t="s">
        <v>53</v>
      </c>
      <c r="H7" s="7" t="s">
        <v>70</v>
      </c>
      <c r="I7" s="7" t="s">
        <v>60</v>
      </c>
      <c r="J7" s="8"/>
    </row>
    <row r="8" spans="1:10" x14ac:dyDescent="0.45">
      <c r="A8" s="7" t="s">
        <v>71</v>
      </c>
      <c r="B8" s="8" t="s">
        <v>72</v>
      </c>
      <c r="C8" s="9" t="s">
        <v>44</v>
      </c>
      <c r="D8" s="8" t="s">
        <v>68</v>
      </c>
      <c r="E8" s="8" t="s">
        <v>52</v>
      </c>
      <c r="F8" s="8" t="s">
        <v>52</v>
      </c>
      <c r="G8" s="7" t="s">
        <v>53</v>
      </c>
      <c r="H8" s="7" t="s">
        <v>73</v>
      </c>
      <c r="I8" s="7" t="s">
        <v>60</v>
      </c>
      <c r="J8" s="8"/>
    </row>
    <row r="9" spans="1:10" x14ac:dyDescent="0.45">
      <c r="A9" s="7" t="s">
        <v>74</v>
      </c>
      <c r="B9" s="8" t="s">
        <v>75</v>
      </c>
      <c r="C9" s="9" t="s">
        <v>44</v>
      </c>
      <c r="D9" s="8" t="s">
        <v>57</v>
      </c>
      <c r="E9" s="8" t="s">
        <v>52</v>
      </c>
      <c r="F9" s="8" t="s">
        <v>52</v>
      </c>
      <c r="G9" s="7" t="s">
        <v>53</v>
      </c>
      <c r="H9" s="7" t="s">
        <v>76</v>
      </c>
      <c r="I9" s="7" t="s">
        <v>60</v>
      </c>
      <c r="J9" s="8"/>
    </row>
    <row r="10" spans="1:10" x14ac:dyDescent="0.45">
      <c r="A10" s="7" t="s">
        <v>77</v>
      </c>
      <c r="B10" s="8" t="s">
        <v>78</v>
      </c>
      <c r="C10" s="9" t="s">
        <v>44</v>
      </c>
      <c r="D10" s="8" t="s">
        <v>68</v>
      </c>
      <c r="E10" s="8" t="s">
        <v>79</v>
      </c>
      <c r="F10" s="8" t="s">
        <v>52</v>
      </c>
      <c r="G10" s="7" t="s">
        <v>80</v>
      </c>
      <c r="H10" s="7" t="s">
        <v>81</v>
      </c>
      <c r="I10" s="7" t="s">
        <v>82</v>
      </c>
      <c r="J10" s="8"/>
    </row>
    <row r="11" spans="1:10" x14ac:dyDescent="0.45">
      <c r="A11" s="7" t="s">
        <v>83</v>
      </c>
      <c r="B11" s="8" t="s">
        <v>84</v>
      </c>
      <c r="C11" s="9" t="s">
        <v>44</v>
      </c>
      <c r="D11" s="8" t="s">
        <v>57</v>
      </c>
      <c r="E11" s="8" t="s">
        <v>85</v>
      </c>
      <c r="F11" s="8" t="s">
        <v>85</v>
      </c>
      <c r="G11" s="7" t="s">
        <v>86</v>
      </c>
      <c r="H11" s="7" t="s">
        <v>87</v>
      </c>
      <c r="I11" s="7" t="s">
        <v>60</v>
      </c>
      <c r="J11" s="8"/>
    </row>
    <row r="12" spans="1:10" x14ac:dyDescent="0.45">
      <c r="A12" s="7" t="s">
        <v>88</v>
      </c>
      <c r="B12" s="8" t="s">
        <v>89</v>
      </c>
      <c r="C12" s="9" t="s">
        <v>44</v>
      </c>
      <c r="D12" s="8" t="s">
        <v>45</v>
      </c>
      <c r="E12" s="8" t="s">
        <v>52</v>
      </c>
      <c r="F12" s="8" t="s">
        <v>52</v>
      </c>
      <c r="G12" s="7" t="s">
        <v>53</v>
      </c>
      <c r="H12" s="7" t="s">
        <v>90</v>
      </c>
      <c r="I12" s="7" t="s">
        <v>49</v>
      </c>
      <c r="J12" s="8"/>
    </row>
    <row r="13" spans="1:10" x14ac:dyDescent="0.45">
      <c r="A13" s="7" t="s">
        <v>91</v>
      </c>
      <c r="B13" s="8" t="s">
        <v>92</v>
      </c>
      <c r="C13" s="10" t="s">
        <v>93</v>
      </c>
      <c r="D13" s="8" t="s">
        <v>94</v>
      </c>
      <c r="E13" s="8" t="s">
        <v>94</v>
      </c>
      <c r="F13" s="8" t="s">
        <v>94</v>
      </c>
      <c r="G13" s="7" t="s">
        <v>94</v>
      </c>
      <c r="H13" s="7" t="s">
        <v>94</v>
      </c>
      <c r="I13" s="7" t="s">
        <v>95</v>
      </c>
      <c r="J13" s="8"/>
    </row>
    <row r="14" spans="1:10" x14ac:dyDescent="0.45">
      <c r="A14" s="7" t="s">
        <v>96</v>
      </c>
      <c r="B14" s="8" t="s">
        <v>97</v>
      </c>
      <c r="C14" s="9" t="s">
        <v>44</v>
      </c>
      <c r="D14" s="8" t="s">
        <v>57</v>
      </c>
      <c r="E14" s="8" t="s">
        <v>98</v>
      </c>
      <c r="F14" s="8" t="s">
        <v>98</v>
      </c>
      <c r="G14" s="7" t="s">
        <v>99</v>
      </c>
      <c r="H14" s="7" t="s">
        <v>100</v>
      </c>
      <c r="I14" s="7" t="s">
        <v>60</v>
      </c>
      <c r="J14" s="8"/>
    </row>
    <row r="15" spans="1:10" x14ac:dyDescent="0.45">
      <c r="A15" s="7" t="s">
        <v>101</v>
      </c>
      <c r="B15" s="8" t="s">
        <v>102</v>
      </c>
      <c r="C15" s="10" t="s">
        <v>93</v>
      </c>
      <c r="D15" s="8" t="s">
        <v>94</v>
      </c>
      <c r="E15" s="8" t="s">
        <v>94</v>
      </c>
      <c r="F15" s="8" t="s">
        <v>94</v>
      </c>
      <c r="G15" s="7" t="s">
        <v>94</v>
      </c>
      <c r="H15" s="7" t="s">
        <v>94</v>
      </c>
      <c r="I15" s="7" t="s">
        <v>95</v>
      </c>
      <c r="J15" s="8"/>
    </row>
    <row r="16" spans="1:10" x14ac:dyDescent="0.45">
      <c r="A16" s="7" t="s">
        <v>103</v>
      </c>
      <c r="B16" s="8" t="s">
        <v>104</v>
      </c>
      <c r="C16" s="10" t="s">
        <v>93</v>
      </c>
      <c r="D16" s="8" t="s">
        <v>94</v>
      </c>
      <c r="E16" s="8" t="s">
        <v>94</v>
      </c>
      <c r="F16" s="8" t="s">
        <v>94</v>
      </c>
      <c r="G16" s="7" t="s">
        <v>94</v>
      </c>
      <c r="H16" s="7" t="s">
        <v>94</v>
      </c>
      <c r="I16" s="7" t="s">
        <v>95</v>
      </c>
      <c r="J16" s="8"/>
    </row>
    <row r="17" spans="1:10" x14ac:dyDescent="0.45">
      <c r="A17" s="7" t="s">
        <v>105</v>
      </c>
      <c r="B17" s="8" t="s">
        <v>106</v>
      </c>
      <c r="C17" s="9" t="s">
        <v>44</v>
      </c>
      <c r="D17" s="8" t="s">
        <v>45</v>
      </c>
      <c r="E17" s="8" t="s">
        <v>85</v>
      </c>
      <c r="F17" s="8" t="s">
        <v>85</v>
      </c>
      <c r="G17" s="7" t="s">
        <v>53</v>
      </c>
      <c r="H17" s="7" t="s">
        <v>107</v>
      </c>
      <c r="I17" s="7" t="s">
        <v>49</v>
      </c>
      <c r="J17" s="8"/>
    </row>
    <row r="18" spans="1:10" x14ac:dyDescent="0.45">
      <c r="A18" s="7" t="s">
        <v>108</v>
      </c>
      <c r="B18" s="8" t="s">
        <v>109</v>
      </c>
      <c r="C18" s="9" t="s">
        <v>44</v>
      </c>
      <c r="D18" s="8" t="s">
        <v>110</v>
      </c>
      <c r="E18" s="8" t="s">
        <v>52</v>
      </c>
      <c r="F18" s="8" t="s">
        <v>52</v>
      </c>
      <c r="G18" s="7" t="s">
        <v>53</v>
      </c>
      <c r="H18" s="7" t="s">
        <v>111</v>
      </c>
      <c r="I18" s="7" t="s">
        <v>60</v>
      </c>
      <c r="J18" s="8"/>
    </row>
    <row r="19" spans="1:10" x14ac:dyDescent="0.45">
      <c r="A19" s="7" t="s">
        <v>112</v>
      </c>
      <c r="B19" s="8" t="s">
        <v>113</v>
      </c>
      <c r="C19" s="9" t="s">
        <v>44</v>
      </c>
      <c r="D19" s="8" t="s">
        <v>57</v>
      </c>
      <c r="E19" s="8" t="s">
        <v>114</v>
      </c>
      <c r="F19" s="8" t="s">
        <v>114</v>
      </c>
      <c r="G19" s="7" t="s">
        <v>115</v>
      </c>
      <c r="H19" s="7" t="s">
        <v>116</v>
      </c>
      <c r="I19" s="7" t="s">
        <v>60</v>
      </c>
      <c r="J19" s="8"/>
    </row>
    <row r="20" spans="1:10" x14ac:dyDescent="0.45">
      <c r="A20" s="7" t="s">
        <v>117</v>
      </c>
      <c r="B20" s="8" t="s">
        <v>118</v>
      </c>
      <c r="C20" s="9" t="s">
        <v>44</v>
      </c>
      <c r="D20" s="8" t="s">
        <v>57</v>
      </c>
      <c r="E20" s="8" t="s">
        <v>52</v>
      </c>
      <c r="F20" s="8" t="s">
        <v>52</v>
      </c>
      <c r="G20" s="7" t="s">
        <v>53</v>
      </c>
      <c r="H20" s="7" t="s">
        <v>119</v>
      </c>
      <c r="I20" s="7" t="s">
        <v>60</v>
      </c>
      <c r="J20" s="8"/>
    </row>
    <row r="21" spans="1:10" x14ac:dyDescent="0.45">
      <c r="A21" s="7" t="s">
        <v>120</v>
      </c>
      <c r="B21" s="8" t="s">
        <v>121</v>
      </c>
      <c r="C21" s="9" t="s">
        <v>44</v>
      </c>
      <c r="D21" s="8" t="s">
        <v>57</v>
      </c>
      <c r="E21" s="8" t="s">
        <v>52</v>
      </c>
      <c r="F21" s="8" t="s">
        <v>52</v>
      </c>
      <c r="G21" s="7" t="s">
        <v>122</v>
      </c>
      <c r="H21" s="7" t="s">
        <v>123</v>
      </c>
      <c r="I21" s="7" t="s">
        <v>60</v>
      </c>
      <c r="J21" s="8"/>
    </row>
    <row r="22" spans="1:10" x14ac:dyDescent="0.45">
      <c r="A22" s="7" t="s">
        <v>124</v>
      </c>
      <c r="B22" s="8" t="s">
        <v>125</v>
      </c>
      <c r="C22" s="9" t="s">
        <v>44</v>
      </c>
      <c r="D22" s="8" t="s">
        <v>110</v>
      </c>
      <c r="E22" s="8" t="s">
        <v>126</v>
      </c>
      <c r="F22" s="8" t="s">
        <v>126</v>
      </c>
      <c r="G22" s="7" t="s">
        <v>127</v>
      </c>
      <c r="H22" s="7" t="s">
        <v>128</v>
      </c>
      <c r="I22" s="7" t="s">
        <v>60</v>
      </c>
      <c r="J22" s="8"/>
    </row>
    <row r="23" spans="1:10" x14ac:dyDescent="0.45">
      <c r="A23" s="7" t="s">
        <v>129</v>
      </c>
      <c r="B23" s="8" t="s">
        <v>130</v>
      </c>
      <c r="C23" s="9" t="s">
        <v>44</v>
      </c>
      <c r="D23" s="8" t="s">
        <v>57</v>
      </c>
      <c r="E23" s="8" t="s">
        <v>46</v>
      </c>
      <c r="F23" s="8" t="s">
        <v>46</v>
      </c>
      <c r="G23" s="7" t="s">
        <v>53</v>
      </c>
      <c r="H23" s="7" t="s">
        <v>131</v>
      </c>
      <c r="I23" s="7" t="s">
        <v>60</v>
      </c>
      <c r="J23" s="8"/>
    </row>
    <row r="24" spans="1:10" x14ac:dyDescent="0.45">
      <c r="A24" s="7" t="s">
        <v>132</v>
      </c>
      <c r="B24" s="8" t="s">
        <v>133</v>
      </c>
      <c r="C24" s="9" t="s">
        <v>44</v>
      </c>
      <c r="D24" s="8" t="s">
        <v>57</v>
      </c>
      <c r="E24" s="8" t="s">
        <v>46</v>
      </c>
      <c r="F24" s="8" t="s">
        <v>46</v>
      </c>
      <c r="G24" s="7" t="s">
        <v>134</v>
      </c>
      <c r="H24" s="7" t="s">
        <v>135</v>
      </c>
      <c r="I24" s="7" t="s">
        <v>60</v>
      </c>
      <c r="J24" s="8"/>
    </row>
    <row r="25" spans="1:10" x14ac:dyDescent="0.45">
      <c r="A25" s="7" t="s">
        <v>136</v>
      </c>
      <c r="B25" s="8" t="s">
        <v>137</v>
      </c>
      <c r="C25" s="9" t="s">
        <v>44</v>
      </c>
      <c r="D25" s="8" t="s">
        <v>57</v>
      </c>
      <c r="E25" s="8" t="s">
        <v>52</v>
      </c>
      <c r="F25" s="8" t="s">
        <v>52</v>
      </c>
      <c r="G25" s="7" t="s">
        <v>53</v>
      </c>
      <c r="H25" s="7" t="s">
        <v>138</v>
      </c>
      <c r="I25" s="7" t="s">
        <v>60</v>
      </c>
      <c r="J25" s="8"/>
    </row>
    <row r="26" spans="1:10" x14ac:dyDescent="0.45">
      <c r="A26" s="7" t="s">
        <v>139</v>
      </c>
      <c r="B26" s="8" t="s">
        <v>140</v>
      </c>
      <c r="C26" s="9" t="s">
        <v>44</v>
      </c>
      <c r="D26" s="8" t="s">
        <v>45</v>
      </c>
      <c r="E26" s="8" t="s">
        <v>98</v>
      </c>
      <c r="F26" s="8" t="s">
        <v>98</v>
      </c>
      <c r="G26" s="7" t="s">
        <v>53</v>
      </c>
      <c r="H26" s="7" t="s">
        <v>141</v>
      </c>
      <c r="I26" s="7" t="s">
        <v>49</v>
      </c>
      <c r="J26" s="8"/>
    </row>
    <row r="27" spans="1:10" x14ac:dyDescent="0.45">
      <c r="A27" s="7" t="s">
        <v>142</v>
      </c>
      <c r="B27" s="8" t="s">
        <v>143</v>
      </c>
      <c r="C27" s="10" t="s">
        <v>93</v>
      </c>
      <c r="D27" s="8" t="s">
        <v>94</v>
      </c>
      <c r="E27" s="8" t="s">
        <v>94</v>
      </c>
      <c r="F27" s="8" t="s">
        <v>94</v>
      </c>
      <c r="G27" s="7" t="s">
        <v>94</v>
      </c>
      <c r="H27" s="7" t="s">
        <v>94</v>
      </c>
      <c r="I27" s="7" t="s">
        <v>95</v>
      </c>
      <c r="J27" s="8"/>
    </row>
    <row r="28" spans="1:10" x14ac:dyDescent="0.45">
      <c r="A28" s="7" t="s">
        <v>144</v>
      </c>
      <c r="B28" s="8" t="s">
        <v>145</v>
      </c>
      <c r="C28" s="10" t="s">
        <v>93</v>
      </c>
      <c r="D28" s="8" t="s">
        <v>94</v>
      </c>
      <c r="E28" s="8" t="s">
        <v>94</v>
      </c>
      <c r="F28" s="8" t="s">
        <v>94</v>
      </c>
      <c r="G28" s="7" t="s">
        <v>94</v>
      </c>
      <c r="H28" s="7" t="s">
        <v>94</v>
      </c>
      <c r="I28" s="7" t="s">
        <v>95</v>
      </c>
      <c r="J28" s="8"/>
    </row>
    <row r="29" spans="1:10" x14ac:dyDescent="0.45">
      <c r="A29" s="7" t="s">
        <v>146</v>
      </c>
      <c r="B29" s="8" t="s">
        <v>147</v>
      </c>
      <c r="C29" s="9" t="s">
        <v>44</v>
      </c>
      <c r="D29" s="8" t="s">
        <v>57</v>
      </c>
      <c r="E29" s="8" t="s">
        <v>52</v>
      </c>
      <c r="F29" s="8" t="s">
        <v>52</v>
      </c>
      <c r="G29" s="7" t="s">
        <v>53</v>
      </c>
      <c r="H29" s="7" t="s">
        <v>148</v>
      </c>
      <c r="I29" s="7" t="s">
        <v>60</v>
      </c>
      <c r="J29" s="8"/>
    </row>
    <row r="30" spans="1:10" x14ac:dyDescent="0.45">
      <c r="A30" s="7" t="s">
        <v>149</v>
      </c>
      <c r="B30" s="8" t="s">
        <v>150</v>
      </c>
      <c r="C30" s="9" t="s">
        <v>44</v>
      </c>
      <c r="D30" s="8" t="s">
        <v>57</v>
      </c>
      <c r="E30" s="8" t="s">
        <v>52</v>
      </c>
      <c r="F30" s="8" t="s">
        <v>52</v>
      </c>
      <c r="G30" s="7" t="s">
        <v>53</v>
      </c>
      <c r="H30" s="7" t="s">
        <v>151</v>
      </c>
      <c r="I30" s="7" t="s">
        <v>60</v>
      </c>
      <c r="J30" s="8"/>
    </row>
    <row r="31" spans="1:10" x14ac:dyDescent="0.45">
      <c r="A31" s="7" t="s">
        <v>152</v>
      </c>
      <c r="B31" s="8" t="s">
        <v>153</v>
      </c>
      <c r="C31" s="9" t="s">
        <v>44</v>
      </c>
      <c r="D31" s="8" t="s">
        <v>154</v>
      </c>
      <c r="E31" s="8" t="s">
        <v>155</v>
      </c>
      <c r="F31" s="8" t="s">
        <v>155</v>
      </c>
      <c r="G31" s="7" t="s">
        <v>156</v>
      </c>
      <c r="H31" s="7" t="s">
        <v>157</v>
      </c>
      <c r="I31" s="7" t="s">
        <v>158</v>
      </c>
      <c r="J31" s="8"/>
    </row>
    <row r="32" spans="1:10" x14ac:dyDescent="0.45">
      <c r="A32" s="7" t="s">
        <v>159</v>
      </c>
      <c r="B32" s="8" t="s">
        <v>160</v>
      </c>
      <c r="C32" s="9" t="s">
        <v>44</v>
      </c>
      <c r="D32" s="8" t="s">
        <v>57</v>
      </c>
      <c r="E32" s="8" t="s">
        <v>52</v>
      </c>
      <c r="F32" s="8" t="s">
        <v>52</v>
      </c>
      <c r="G32" s="7" t="s">
        <v>53</v>
      </c>
      <c r="H32" s="7" t="s">
        <v>161</v>
      </c>
      <c r="I32" s="7" t="s">
        <v>60</v>
      </c>
      <c r="J32" s="8"/>
    </row>
    <row r="33" spans="1:10" x14ac:dyDescent="0.45">
      <c r="A33" s="7" t="s">
        <v>162</v>
      </c>
      <c r="B33" s="8" t="s">
        <v>163</v>
      </c>
      <c r="C33" s="9" t="s">
        <v>44</v>
      </c>
      <c r="D33" s="8" t="s">
        <v>57</v>
      </c>
      <c r="E33" s="8" t="s">
        <v>46</v>
      </c>
      <c r="F33" s="8" t="s">
        <v>46</v>
      </c>
      <c r="G33" s="7" t="s">
        <v>164</v>
      </c>
      <c r="H33" s="7" t="s">
        <v>165</v>
      </c>
      <c r="I33" s="7" t="s">
        <v>166</v>
      </c>
      <c r="J33" s="8"/>
    </row>
    <row r="34" spans="1:10" x14ac:dyDescent="0.45">
      <c r="A34" s="7" t="s">
        <v>167</v>
      </c>
      <c r="B34" s="8" t="s">
        <v>168</v>
      </c>
      <c r="C34" s="9" t="s">
        <v>44</v>
      </c>
      <c r="D34" s="8" t="s">
        <v>57</v>
      </c>
      <c r="E34" s="8" t="s">
        <v>169</v>
      </c>
      <c r="F34" s="8" t="s">
        <v>169</v>
      </c>
      <c r="G34" s="7" t="s">
        <v>170</v>
      </c>
      <c r="H34" s="7" t="s">
        <v>171</v>
      </c>
      <c r="I34" s="7" t="s">
        <v>60</v>
      </c>
      <c r="J34" s="8"/>
    </row>
    <row r="35" spans="1:10" x14ac:dyDescent="0.45">
      <c r="A35" s="7" t="s">
        <v>172</v>
      </c>
      <c r="B35" s="8" t="s">
        <v>173</v>
      </c>
      <c r="C35" s="9" t="s">
        <v>44</v>
      </c>
      <c r="D35" s="8" t="s">
        <v>57</v>
      </c>
      <c r="E35" s="8" t="s">
        <v>46</v>
      </c>
      <c r="F35" s="8" t="s">
        <v>46</v>
      </c>
      <c r="G35" s="7" t="s">
        <v>53</v>
      </c>
      <c r="H35" s="7" t="s">
        <v>174</v>
      </c>
      <c r="I35" s="7" t="s">
        <v>60</v>
      </c>
      <c r="J35" s="8"/>
    </row>
    <row r="36" spans="1:10" x14ac:dyDescent="0.45">
      <c r="A36" s="7" t="s">
        <v>175</v>
      </c>
      <c r="B36" s="8" t="s">
        <v>176</v>
      </c>
      <c r="C36" s="9" t="s">
        <v>44</v>
      </c>
      <c r="D36" s="8" t="s">
        <v>57</v>
      </c>
      <c r="E36" s="8" t="s">
        <v>52</v>
      </c>
      <c r="F36" s="8" t="s">
        <v>52</v>
      </c>
      <c r="G36" s="7" t="s">
        <v>177</v>
      </c>
      <c r="H36" s="7" t="s">
        <v>178</v>
      </c>
      <c r="I36" s="7" t="s">
        <v>60</v>
      </c>
      <c r="J36" s="8"/>
    </row>
    <row r="37" spans="1:10" x14ac:dyDescent="0.45">
      <c r="A37" s="7" t="s">
        <v>179</v>
      </c>
      <c r="B37" s="8" t="s">
        <v>180</v>
      </c>
      <c r="C37" s="9" t="s">
        <v>44</v>
      </c>
      <c r="D37" s="8" t="s">
        <v>154</v>
      </c>
      <c r="E37" s="8" t="s">
        <v>98</v>
      </c>
      <c r="F37" s="8" t="s">
        <v>98</v>
      </c>
      <c r="G37" s="7" t="s">
        <v>53</v>
      </c>
      <c r="H37" s="7" t="s">
        <v>181</v>
      </c>
      <c r="I37" s="7" t="s">
        <v>60</v>
      </c>
      <c r="J37" s="8"/>
    </row>
    <row r="38" spans="1:10" x14ac:dyDescent="0.45">
      <c r="A38" s="7" t="s">
        <v>182</v>
      </c>
      <c r="B38" s="8" t="s">
        <v>183</v>
      </c>
      <c r="C38" s="9" t="s">
        <v>44</v>
      </c>
      <c r="D38" s="8" t="s">
        <v>57</v>
      </c>
      <c r="E38" s="8" t="s">
        <v>52</v>
      </c>
      <c r="F38" s="8" t="s">
        <v>52</v>
      </c>
      <c r="G38" s="7" t="s">
        <v>53</v>
      </c>
      <c r="H38" s="7" t="s">
        <v>184</v>
      </c>
      <c r="I38" s="7" t="s">
        <v>60</v>
      </c>
      <c r="J38" s="8"/>
    </row>
    <row r="39" spans="1:10" x14ac:dyDescent="0.45">
      <c r="A39" s="7" t="s">
        <v>185</v>
      </c>
      <c r="B39" s="8" t="s">
        <v>186</v>
      </c>
      <c r="C39" s="9" t="s">
        <v>44</v>
      </c>
      <c r="D39" s="8" t="s">
        <v>57</v>
      </c>
      <c r="E39" s="8" t="s">
        <v>98</v>
      </c>
      <c r="F39" s="8" t="s">
        <v>98</v>
      </c>
      <c r="G39" s="7" t="s">
        <v>187</v>
      </c>
      <c r="H39" s="7" t="s">
        <v>188</v>
      </c>
      <c r="I39" s="7" t="s">
        <v>60</v>
      </c>
      <c r="J39" s="8"/>
    </row>
    <row r="40" spans="1:10" x14ac:dyDescent="0.45">
      <c r="A40" s="7" t="s">
        <v>189</v>
      </c>
      <c r="B40" s="8" t="s">
        <v>190</v>
      </c>
      <c r="C40" s="9" t="s">
        <v>44</v>
      </c>
      <c r="D40" s="8" t="s">
        <v>57</v>
      </c>
      <c r="E40" s="8" t="s">
        <v>191</v>
      </c>
      <c r="F40" s="8" t="s">
        <v>191</v>
      </c>
      <c r="G40" s="7" t="s">
        <v>53</v>
      </c>
      <c r="H40" s="7" t="s">
        <v>192</v>
      </c>
      <c r="I40" s="7" t="s">
        <v>60</v>
      </c>
      <c r="J40" s="8"/>
    </row>
    <row r="41" spans="1:10" x14ac:dyDescent="0.45">
      <c r="A41" s="7" t="s">
        <v>193</v>
      </c>
      <c r="B41" s="8" t="s">
        <v>194</v>
      </c>
      <c r="C41" s="9" t="s">
        <v>44</v>
      </c>
      <c r="D41" s="8" t="s">
        <v>45</v>
      </c>
      <c r="E41" s="8" t="s">
        <v>52</v>
      </c>
      <c r="F41" s="8" t="s">
        <v>52</v>
      </c>
      <c r="G41" s="7" t="s">
        <v>53</v>
      </c>
      <c r="H41" s="7" t="s">
        <v>195</v>
      </c>
      <c r="I41" s="7" t="s">
        <v>49</v>
      </c>
      <c r="J41" s="8"/>
    </row>
    <row r="42" spans="1:10" x14ac:dyDescent="0.45">
      <c r="A42" s="7" t="s">
        <v>196</v>
      </c>
      <c r="B42" s="8" t="s">
        <v>197</v>
      </c>
      <c r="C42" s="10" t="s">
        <v>93</v>
      </c>
      <c r="D42" s="8" t="s">
        <v>94</v>
      </c>
      <c r="E42" s="8" t="s">
        <v>94</v>
      </c>
      <c r="F42" s="8" t="s">
        <v>94</v>
      </c>
      <c r="G42" s="7" t="s">
        <v>94</v>
      </c>
      <c r="H42" s="7" t="s">
        <v>94</v>
      </c>
      <c r="I42" s="7" t="s">
        <v>95</v>
      </c>
      <c r="J42" s="8"/>
    </row>
    <row r="43" spans="1:10" x14ac:dyDescent="0.45">
      <c r="A43" s="7" t="s">
        <v>198</v>
      </c>
      <c r="B43" s="8" t="s">
        <v>199</v>
      </c>
      <c r="C43" s="9" t="s">
        <v>44</v>
      </c>
      <c r="D43" s="8" t="s">
        <v>200</v>
      </c>
      <c r="E43" s="8" t="s">
        <v>52</v>
      </c>
      <c r="F43" s="8" t="s">
        <v>52</v>
      </c>
      <c r="G43" s="7" t="s">
        <v>201</v>
      </c>
      <c r="H43" s="7" t="s">
        <v>202</v>
      </c>
      <c r="I43" s="7" t="s">
        <v>60</v>
      </c>
      <c r="J43" s="8"/>
    </row>
    <row r="44" spans="1:10" x14ac:dyDescent="0.45">
      <c r="A44" s="7" t="s">
        <v>203</v>
      </c>
      <c r="B44" s="8" t="s">
        <v>204</v>
      </c>
      <c r="C44" s="10" t="s">
        <v>93</v>
      </c>
      <c r="D44" s="8" t="s">
        <v>94</v>
      </c>
      <c r="E44" s="8" t="s">
        <v>94</v>
      </c>
      <c r="F44" s="8" t="s">
        <v>94</v>
      </c>
      <c r="G44" s="7" t="s">
        <v>94</v>
      </c>
      <c r="H44" s="7" t="s">
        <v>94</v>
      </c>
      <c r="I44" s="7" t="s">
        <v>95</v>
      </c>
      <c r="J44" s="8"/>
    </row>
    <row r="45" spans="1:10" x14ac:dyDescent="0.45">
      <c r="A45" s="7" t="s">
        <v>205</v>
      </c>
      <c r="B45" s="8" t="s">
        <v>206</v>
      </c>
      <c r="C45" s="9" t="s">
        <v>44</v>
      </c>
      <c r="D45" s="8" t="s">
        <v>57</v>
      </c>
      <c r="E45" s="8" t="s">
        <v>126</v>
      </c>
      <c r="F45" s="8" t="s">
        <v>126</v>
      </c>
      <c r="G45" s="7" t="s">
        <v>53</v>
      </c>
      <c r="H45" s="7" t="s">
        <v>207</v>
      </c>
      <c r="I45" s="7" t="s">
        <v>60</v>
      </c>
      <c r="J45" s="8"/>
    </row>
    <row r="46" spans="1:10" x14ac:dyDescent="0.45">
      <c r="A46" s="7" t="s">
        <v>208</v>
      </c>
      <c r="B46" s="8" t="s">
        <v>209</v>
      </c>
      <c r="C46" s="10" t="s">
        <v>93</v>
      </c>
      <c r="D46" s="8" t="s">
        <v>94</v>
      </c>
      <c r="E46" s="8" t="s">
        <v>94</v>
      </c>
      <c r="F46" s="8" t="s">
        <v>94</v>
      </c>
      <c r="G46" s="7" t="s">
        <v>94</v>
      </c>
      <c r="H46" s="7" t="s">
        <v>94</v>
      </c>
      <c r="I46" s="7" t="s">
        <v>95</v>
      </c>
      <c r="J46" s="8"/>
    </row>
    <row r="47" spans="1:10" x14ac:dyDescent="0.45">
      <c r="A47" s="7" t="s">
        <v>210</v>
      </c>
      <c r="B47" s="8" t="s">
        <v>211</v>
      </c>
      <c r="C47" s="9" t="s">
        <v>44</v>
      </c>
      <c r="D47" s="8" t="s">
        <v>57</v>
      </c>
      <c r="E47" s="8" t="s">
        <v>126</v>
      </c>
      <c r="F47" s="8" t="s">
        <v>126</v>
      </c>
      <c r="G47" s="7" t="s">
        <v>212</v>
      </c>
      <c r="H47" s="7" t="s">
        <v>213</v>
      </c>
      <c r="I47" s="7" t="s">
        <v>60</v>
      </c>
      <c r="J47" s="8"/>
    </row>
    <row r="48" spans="1:10" x14ac:dyDescent="0.45">
      <c r="A48" s="7" t="s">
        <v>214</v>
      </c>
      <c r="B48" s="8" t="s">
        <v>215</v>
      </c>
      <c r="C48" s="9" t="s">
        <v>44</v>
      </c>
      <c r="D48" s="8" t="s">
        <v>68</v>
      </c>
      <c r="E48" s="8" t="s">
        <v>216</v>
      </c>
      <c r="F48" s="8" t="s">
        <v>216</v>
      </c>
      <c r="G48" s="7" t="s">
        <v>217</v>
      </c>
      <c r="H48" s="7" t="s">
        <v>218</v>
      </c>
      <c r="I48" s="7" t="s">
        <v>60</v>
      </c>
      <c r="J48" s="8"/>
    </row>
    <row r="49" spans="1:10" x14ac:dyDescent="0.45">
      <c r="A49" s="7" t="s">
        <v>219</v>
      </c>
      <c r="B49" s="8" t="s">
        <v>220</v>
      </c>
      <c r="C49" s="9" t="s">
        <v>44</v>
      </c>
      <c r="D49" s="8" t="s">
        <v>57</v>
      </c>
      <c r="E49" s="8" t="s">
        <v>52</v>
      </c>
      <c r="F49" s="8" t="s">
        <v>52</v>
      </c>
      <c r="G49" s="7" t="s">
        <v>221</v>
      </c>
      <c r="H49" s="7" t="s">
        <v>222</v>
      </c>
      <c r="I49" s="7" t="s">
        <v>223</v>
      </c>
      <c r="J49" s="8"/>
    </row>
    <row r="50" spans="1:10" x14ac:dyDescent="0.45">
      <c r="A50" s="7" t="s">
        <v>224</v>
      </c>
      <c r="B50" s="8" t="s">
        <v>225</v>
      </c>
      <c r="C50" s="9" t="s">
        <v>44</v>
      </c>
      <c r="D50" s="8" t="s">
        <v>57</v>
      </c>
      <c r="E50" s="8" t="s">
        <v>98</v>
      </c>
      <c r="F50" s="8" t="s">
        <v>98</v>
      </c>
      <c r="G50" s="7" t="s">
        <v>53</v>
      </c>
      <c r="H50" s="7" t="s">
        <v>226</v>
      </c>
      <c r="I50" s="7" t="s">
        <v>60</v>
      </c>
      <c r="J50" s="8"/>
    </row>
    <row r="51" spans="1:10" x14ac:dyDescent="0.45">
      <c r="A51" s="7" t="s">
        <v>227</v>
      </c>
      <c r="B51" s="8" t="s">
        <v>228</v>
      </c>
      <c r="C51" s="10" t="s">
        <v>93</v>
      </c>
      <c r="D51" s="8" t="s">
        <v>94</v>
      </c>
      <c r="E51" s="8" t="s">
        <v>94</v>
      </c>
      <c r="F51" s="8" t="s">
        <v>94</v>
      </c>
      <c r="G51" s="7" t="s">
        <v>94</v>
      </c>
      <c r="H51" s="7" t="s">
        <v>94</v>
      </c>
      <c r="I51" s="7" t="s">
        <v>95</v>
      </c>
      <c r="J51" s="8"/>
    </row>
  </sheetData>
  <mergeCells count="1">
    <mergeCell ref="A1:J1"/>
  </mergeCells>
  <dataValidations count="1">
    <dataValidation type="list" allowBlank="1" sqref="J3:J51" xr:uid="{00000000-0002-0000-0100-000000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defaultRowHeight="14.25" x14ac:dyDescent="0.45"/>
  <cols>
    <col min="1" max="2" width="18" customWidth="1"/>
    <col min="3" max="3" width="15" customWidth="1"/>
    <col min="4" max="4" width="20" customWidth="1"/>
    <col min="5" max="5" width="15" customWidth="1"/>
    <col min="6" max="6" width="12" customWidth="1"/>
    <col min="7" max="7" width="18" customWidth="1"/>
    <col min="8" max="8" width="30" customWidth="1"/>
  </cols>
  <sheetData>
    <row r="1" spans="1:8" ht="21" x14ac:dyDescent="0.65">
      <c r="A1" s="16" t="s">
        <v>229</v>
      </c>
      <c r="B1" s="13"/>
      <c r="C1" s="13"/>
      <c r="D1" s="13"/>
      <c r="E1" s="13"/>
      <c r="F1" s="13"/>
      <c r="G1" s="13"/>
      <c r="H1" s="13"/>
    </row>
    <row r="2" spans="1:8" x14ac:dyDescent="0.45">
      <c r="A2" s="6" t="s">
        <v>32</v>
      </c>
      <c r="B2" s="6" t="s">
        <v>230</v>
      </c>
      <c r="C2" s="6" t="s">
        <v>231</v>
      </c>
      <c r="D2" s="6" t="s">
        <v>232</v>
      </c>
      <c r="E2" s="6" t="s">
        <v>233</v>
      </c>
      <c r="F2" s="6" t="s">
        <v>37</v>
      </c>
      <c r="G2" s="6" t="s">
        <v>234</v>
      </c>
      <c r="H2" s="6" t="s">
        <v>40</v>
      </c>
    </row>
    <row r="3" spans="1:8" x14ac:dyDescent="0.45">
      <c r="A3" s="7" t="s">
        <v>61</v>
      </c>
      <c r="B3" s="8" t="s">
        <v>235</v>
      </c>
      <c r="C3" s="8" t="s">
        <v>236</v>
      </c>
      <c r="D3" s="7" t="s">
        <v>237</v>
      </c>
      <c r="E3" s="8" t="s">
        <v>45</v>
      </c>
      <c r="F3" s="8" t="s">
        <v>45</v>
      </c>
      <c r="G3" s="8" t="s">
        <v>238</v>
      </c>
      <c r="H3" s="7" t="s">
        <v>239</v>
      </c>
    </row>
    <row r="4" spans="1:8" x14ac:dyDescent="0.45">
      <c r="A4" s="7" t="s">
        <v>77</v>
      </c>
      <c r="B4" s="8" t="s">
        <v>240</v>
      </c>
      <c r="C4" s="8"/>
      <c r="D4" s="7"/>
      <c r="E4" s="8"/>
      <c r="F4" s="8" t="s">
        <v>52</v>
      </c>
      <c r="G4" s="8"/>
      <c r="H4" s="7" t="s">
        <v>241</v>
      </c>
    </row>
    <row r="5" spans="1:8" x14ac:dyDescent="0.45">
      <c r="A5" s="7" t="s">
        <v>162</v>
      </c>
      <c r="B5" s="8" t="s">
        <v>242</v>
      </c>
      <c r="C5" s="8"/>
      <c r="D5" s="7"/>
      <c r="E5" s="8"/>
      <c r="F5" s="8" t="s">
        <v>46</v>
      </c>
      <c r="G5" s="8"/>
      <c r="H5" s="7" t="s">
        <v>243</v>
      </c>
    </row>
  </sheetData>
  <mergeCells count="1">
    <mergeCell ref="A1:H1"/>
  </mergeCells>
  <dataValidations count="1">
    <dataValidation type="list" allowBlank="1" sqref="B3:B100" xr:uid="{00000000-0002-0000-0200-000000000000}">
      <formula1>"Not Started,Pending,Registered,Renewal Due,Expired"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/>
  </sheetViews>
  <sheetFormatPr defaultRowHeight="14.25" x14ac:dyDescent="0.45"/>
  <cols>
    <col min="1" max="4" width="18" customWidth="1"/>
    <col min="5" max="6" width="15" customWidth="1"/>
    <col min="7" max="7" width="20" customWidth="1"/>
  </cols>
  <sheetData>
    <row r="1" spans="1:7" ht="21" x14ac:dyDescent="0.65">
      <c r="A1" s="16" t="s">
        <v>244</v>
      </c>
      <c r="B1" s="13"/>
      <c r="C1" s="13"/>
      <c r="D1" s="13"/>
      <c r="E1" s="13"/>
      <c r="F1" s="13"/>
      <c r="G1" s="13"/>
    </row>
    <row r="2" spans="1:7" x14ac:dyDescent="0.45">
      <c r="A2" s="6" t="s">
        <v>32</v>
      </c>
      <c r="B2" s="6" t="s">
        <v>231</v>
      </c>
      <c r="C2" s="6" t="s">
        <v>245</v>
      </c>
      <c r="D2" s="6" t="s">
        <v>234</v>
      </c>
      <c r="E2" s="6" t="s">
        <v>18</v>
      </c>
      <c r="F2" s="6" t="s">
        <v>246</v>
      </c>
      <c r="G2" s="6" t="s">
        <v>247</v>
      </c>
    </row>
    <row r="3" spans="1:7" x14ac:dyDescent="0.45">
      <c r="A3" t="s">
        <v>61</v>
      </c>
      <c r="B3" t="s">
        <v>236</v>
      </c>
      <c r="C3" t="s">
        <v>248</v>
      </c>
      <c r="D3" t="s">
        <v>238</v>
      </c>
      <c r="E3" t="str">
        <f ca="1">IF(D3="","",IF(D3&lt;TODAY(),"OVERDUE",IF(D3&lt;=TODAY()+90,"DUE SOON","CURRENT")))</f>
        <v>CURRENT</v>
      </c>
      <c r="F3">
        <f ca="1">IF(D3="","",D3-TODAY())</f>
        <v>-111</v>
      </c>
      <c r="G3" t="str">
        <f ca="1">IF(E3="OVERDUE","RENEW IMMEDIATELY",IF(E3="DUE SOON","PREPARE RENEWAL","MONITOR"))</f>
        <v>MONITOR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25" x14ac:dyDescent="0.45"/>
  <cols>
    <col min="1" max="1" width="25" customWidth="1"/>
    <col min="2" max="2" width="15" customWidth="1"/>
    <col min="3" max="3" width="30" customWidth="1"/>
    <col min="4" max="4" width="35" customWidth="1"/>
    <col min="5" max="5" width="15" customWidth="1"/>
    <col min="6" max="6" width="30" customWidth="1"/>
  </cols>
  <sheetData>
    <row r="1" spans="1:6" ht="21" x14ac:dyDescent="0.65">
      <c r="A1" s="16" t="s">
        <v>249</v>
      </c>
      <c r="B1" s="13"/>
      <c r="C1" s="13"/>
      <c r="D1" s="13"/>
      <c r="E1" s="13"/>
      <c r="F1" s="13"/>
    </row>
    <row r="2" spans="1:6" x14ac:dyDescent="0.45">
      <c r="A2" s="6" t="s">
        <v>250</v>
      </c>
      <c r="B2" s="6" t="s">
        <v>32</v>
      </c>
      <c r="C2" s="6" t="s">
        <v>251</v>
      </c>
      <c r="D2" s="6" t="s">
        <v>252</v>
      </c>
      <c r="E2" s="6" t="s">
        <v>253</v>
      </c>
      <c r="F2" s="6" t="s">
        <v>40</v>
      </c>
    </row>
    <row r="3" spans="1:6" x14ac:dyDescent="0.45">
      <c r="A3" s="7" t="s">
        <v>254</v>
      </c>
      <c r="B3" s="7" t="s">
        <v>255</v>
      </c>
      <c r="C3" s="7" t="s">
        <v>256</v>
      </c>
      <c r="D3" s="7" t="s">
        <v>257</v>
      </c>
      <c r="E3" s="7" t="s">
        <v>258</v>
      </c>
      <c r="F3" s="7" t="s">
        <v>259</v>
      </c>
    </row>
    <row r="4" spans="1:6" x14ac:dyDescent="0.45">
      <c r="A4" s="7" t="s">
        <v>260</v>
      </c>
      <c r="B4" s="7" t="s">
        <v>255</v>
      </c>
      <c r="C4" s="7" t="s">
        <v>261</v>
      </c>
      <c r="D4" s="7" t="s">
        <v>257</v>
      </c>
      <c r="E4" s="7" t="s">
        <v>262</v>
      </c>
      <c r="F4" s="7" t="s">
        <v>263</v>
      </c>
    </row>
    <row r="5" spans="1:6" x14ac:dyDescent="0.45">
      <c r="A5" s="7" t="s">
        <v>53</v>
      </c>
      <c r="B5" s="7" t="s">
        <v>61</v>
      </c>
      <c r="C5" s="7" t="s">
        <v>264</v>
      </c>
      <c r="D5" s="7" t="s">
        <v>265</v>
      </c>
      <c r="E5" s="7" t="s">
        <v>236</v>
      </c>
      <c r="F5" s="7" t="s">
        <v>266</v>
      </c>
    </row>
  </sheetData>
  <mergeCells count="1">
    <mergeCell ref="A1:F1"/>
  </mergeCells>
  <dataValidations count="1">
    <dataValidation type="list" allowBlank="1" sqref="A3:A100" xr:uid="{00000000-0002-0000-0400-000000000000}">
      <formula1>"Form 990,Determination Letter,Articles of Incorporation,Bylaws,Board List,Financial Statements,URS,State Registration,Renewal Form,Other"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workbookViewId="0"/>
  </sheetViews>
  <sheetFormatPr defaultRowHeight="14.25" x14ac:dyDescent="0.45"/>
  <cols>
    <col min="1" max="1" width="35" customWidth="1"/>
    <col min="2" max="4" width="20" customWidth="1"/>
  </cols>
  <sheetData>
    <row r="1" spans="1:4" ht="21" x14ac:dyDescent="0.65">
      <c r="A1" s="16" t="s">
        <v>267</v>
      </c>
      <c r="B1" s="13"/>
      <c r="C1" s="13"/>
      <c r="D1" s="13"/>
    </row>
    <row r="3" spans="1:4" x14ac:dyDescent="0.45">
      <c r="A3" s="1" t="s">
        <v>268</v>
      </c>
      <c r="B3" t="s">
        <v>269</v>
      </c>
    </row>
    <row r="5" spans="1:4" ht="18" x14ac:dyDescent="0.55000000000000004">
      <c r="A5" s="15" t="s">
        <v>270</v>
      </c>
      <c r="B5" s="13"/>
      <c r="C5" s="13"/>
      <c r="D5" s="13"/>
    </row>
    <row r="6" spans="1:4" x14ac:dyDescent="0.45">
      <c r="A6" s="1" t="s">
        <v>271</v>
      </c>
      <c r="B6" s="4">
        <f>COUNTIF('State Requirements'!C:C,"Yes")</f>
        <v>40</v>
      </c>
    </row>
    <row r="7" spans="1:4" x14ac:dyDescent="0.45">
      <c r="A7" s="1" t="s">
        <v>272</v>
      </c>
      <c r="B7" s="4">
        <f>COUNTIF('Registration Status'!B:B,"Registered")</f>
        <v>1</v>
      </c>
    </row>
    <row r="8" spans="1:4" x14ac:dyDescent="0.45">
      <c r="A8" s="1" t="s">
        <v>273</v>
      </c>
      <c r="B8" s="4">
        <f>COUNTIF('Registration Status'!B:B,"Pending")</f>
        <v>1</v>
      </c>
    </row>
    <row r="9" spans="1:4" x14ac:dyDescent="0.45">
      <c r="A9" s="1" t="s">
        <v>274</v>
      </c>
      <c r="B9" s="4">
        <f ca="1">COUNTIFS('Renewal Calendar'!D:D,"&gt;="&amp;TODAY(),'Renewal Calendar'!D:D,"&lt;="&amp;TODAY()+90)</f>
        <v>0</v>
      </c>
    </row>
    <row r="10" spans="1:4" x14ac:dyDescent="0.45">
      <c r="A10" s="1" t="s">
        <v>275</v>
      </c>
      <c r="B10" s="4">
        <f ca="1">COUNTIF('Renewal Calendar'!E:E,"OVERDUE")</f>
        <v>0</v>
      </c>
    </row>
    <row r="11" spans="1:4" x14ac:dyDescent="0.45">
      <c r="A11" s="1" t="s">
        <v>276</v>
      </c>
      <c r="B11" s="4">
        <f>SUM('Registration Status'!E:E)</f>
        <v>0</v>
      </c>
    </row>
    <row r="12" spans="1:4" x14ac:dyDescent="0.45">
      <c r="A12" s="1" t="s">
        <v>277</v>
      </c>
      <c r="B12" s="4" t="str">
        <f>ROUND(B7/B6*100,0)&amp;"%"</f>
        <v>3%</v>
      </c>
    </row>
    <row r="14" spans="1:4" ht="18" x14ac:dyDescent="0.55000000000000004">
      <c r="A14" s="15" t="s">
        <v>278</v>
      </c>
      <c r="B14" s="13"/>
      <c r="C14" s="13"/>
      <c r="D14" s="13"/>
    </row>
    <row r="15" spans="1:4" x14ac:dyDescent="0.45">
      <c r="A15" s="11" t="s">
        <v>279</v>
      </c>
      <c r="B15" s="11" t="s">
        <v>280</v>
      </c>
      <c r="C15" s="11" t="s">
        <v>32</v>
      </c>
      <c r="D15" s="11" t="s">
        <v>281</v>
      </c>
    </row>
    <row r="20" spans="1:4" ht="15.75" x14ac:dyDescent="0.5">
      <c r="A20" s="17" t="s">
        <v>282</v>
      </c>
      <c r="B20" s="13"/>
      <c r="C20" s="13"/>
      <c r="D20" s="13"/>
    </row>
    <row r="21" spans="1:4" x14ac:dyDescent="0.45">
      <c r="A21" t="s">
        <v>283</v>
      </c>
    </row>
    <row r="22" spans="1:4" x14ac:dyDescent="0.45">
      <c r="A22" t="s">
        <v>284</v>
      </c>
    </row>
    <row r="23" spans="1:4" x14ac:dyDescent="0.45">
      <c r="A23" t="s">
        <v>285</v>
      </c>
    </row>
    <row r="24" spans="1:4" x14ac:dyDescent="0.45">
      <c r="A24" t="s">
        <v>286</v>
      </c>
    </row>
    <row r="25" spans="1:4" x14ac:dyDescent="0.45">
      <c r="A25" t="s">
        <v>287</v>
      </c>
    </row>
  </sheetData>
  <mergeCells count="4">
    <mergeCell ref="A1:D1"/>
    <mergeCell ref="A14:D14"/>
    <mergeCell ref="A20:D20"/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State Requirements</vt:lpstr>
      <vt:lpstr>Registration Status</vt:lpstr>
      <vt:lpstr>Renewal Calendar</vt:lpstr>
      <vt:lpstr>Document Library</vt:lpstr>
      <vt:lpstr>Compliance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Kennedy</cp:lastModifiedBy>
  <dcterms:created xsi:type="dcterms:W3CDTF">2026-05-06T17:35:04Z</dcterms:created>
  <dcterms:modified xsi:type="dcterms:W3CDTF">2026-05-06T17:41:36Z</dcterms:modified>
</cp:coreProperties>
</file>