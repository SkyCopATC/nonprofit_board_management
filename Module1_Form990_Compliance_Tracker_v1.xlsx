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Build Your Club\2026_BYC\AI For Nonprofits\BYC_Compliance Mastery Course\Module 2_Form 990 Deep Dive\"/>
    </mc:Choice>
  </mc:AlternateContent>
  <xr:revisionPtr revIDLastSave="0" documentId="8_{273D904A-F4D1-4693-8B67-D220D726787D}" xr6:coauthVersionLast="47" xr6:coauthVersionMax="47" xr10:uidLastSave="{00000000-0000-0000-0000-000000000000}"/>
  <bookViews>
    <workbookView xWindow="-98" yWindow="-98" windowWidth="28996" windowHeight="15675" xr2:uid="{00000000-000D-0000-FFFF-FFFF00000000}"/>
  </bookViews>
  <sheets>
    <sheet name="Dashboard" sheetId="1" r:id="rId1"/>
    <sheet name="Filing Requirements" sheetId="2" r:id="rId2"/>
    <sheet name="Schedule Checklist" sheetId="3" r:id="rId3"/>
    <sheet name="Deadline Tracker" sheetId="4" r:id="rId4"/>
    <sheet name="Public Support Calculator" sheetId="5" r:id="rId5"/>
    <sheet name="Related Party Log" sheetId="6" r:id="rId6"/>
    <sheet name="Board Review Checklis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5" l="1"/>
  <c r="G16" i="5" s="1"/>
  <c r="G12" i="5"/>
  <c r="G11" i="5"/>
  <c r="G10" i="5"/>
  <c r="G9" i="5"/>
  <c r="G8" i="5"/>
  <c r="G7" i="5"/>
  <c r="G15" i="5" s="1"/>
  <c r="G3" i="4"/>
  <c r="F3" i="4"/>
  <c r="B18" i="1"/>
</calcChain>
</file>

<file path=xl/sharedStrings.xml><?xml version="1.0" encoding="utf-8"?>
<sst xmlns="http://schemas.openxmlformats.org/spreadsheetml/2006/main" count="258" uniqueCount="237">
  <si>
    <t>FORM 990 COMPLIANCE TRACKER</t>
  </si>
  <si>
    <t>Annual IRS Filing Management Tool</t>
  </si>
  <si>
    <t>ORGANIZATION INFORMATION</t>
  </si>
  <si>
    <t>Organization Name:</t>
  </si>
  <si>
    <t>EIN:</t>
  </si>
  <si>
    <t>Fiscal Year End:</t>
  </si>
  <si>
    <t>Tax Year:</t>
  </si>
  <si>
    <t>Gross Receipts (Current Year):</t>
  </si>
  <si>
    <t>Total Assets:</t>
  </si>
  <si>
    <t>Form 990 Version Required:</t>
  </si>
  <si>
    <t>Filing Deadline:</t>
  </si>
  <si>
    <t>Extension Filed?:</t>
  </si>
  <si>
    <t>Extended Deadline:</t>
  </si>
  <si>
    <t>Primary Contact:</t>
  </si>
  <si>
    <t>Phone:</t>
  </si>
  <si>
    <t>FILING STATUS SUMMARY</t>
  </si>
  <si>
    <t>Metric</t>
  </si>
  <si>
    <t>Status</t>
  </si>
  <si>
    <t>Notes</t>
  </si>
  <si>
    <t>Form 990 Filed for Current Year?</t>
  </si>
  <si>
    <t>All Required Schedules Completed?</t>
  </si>
  <si>
    <t>Board Review Completed?</t>
  </si>
  <si>
    <t>E-Filing Confirmation Received?</t>
  </si>
  <si>
    <t>Days Until Filing Deadline</t>
  </si>
  <si>
    <t>Filing Status</t>
  </si>
  <si>
    <t>On Time / At Risk / Overdue</t>
  </si>
  <si>
    <t>QUICK ACTIONS</t>
  </si>
  <si>
    <t>1. Determine which Form 990 version to file (see 'Filing Requirements' tab)</t>
  </si>
  <si>
    <t>2. Complete Schedule Checklist to identify required schedules</t>
  </si>
  <si>
    <t>3. Calculate public support percentage (see 'Public Support Calculator' tab)</t>
  </si>
  <si>
    <t>4. Review related party transactions (see 'Related Party Log' tab)</t>
  </si>
  <si>
    <t>5. Complete Board Review Checklist before filing</t>
  </si>
  <si>
    <t>6. File electronically at irs.gov or through tax software</t>
  </si>
  <si>
    <t>FORM 990 FILING REQUIREMENTS</t>
  </si>
  <si>
    <t>WHICH FORM 990 VERSION TO FILE</t>
  </si>
  <si>
    <t>Form Version</t>
  </si>
  <si>
    <t>Gross Receipts</t>
  </si>
  <si>
    <t>Total Assets</t>
  </si>
  <si>
    <t>Pages</t>
  </si>
  <si>
    <t>Complexity</t>
  </si>
  <si>
    <t>E-File Required?</t>
  </si>
  <si>
    <t>990-N (e-Postcard)</t>
  </si>
  <si>
    <t>≤ $50,000</t>
  </si>
  <si>
    <t>Any amount</t>
  </si>
  <si>
    <t>Online only (8 questions)</t>
  </si>
  <si>
    <t>Very Simple</t>
  </si>
  <si>
    <t>Yes (only option)</t>
  </si>
  <si>
    <t>No paper filing available</t>
  </si>
  <si>
    <t>990-EZ (Short Form)</t>
  </si>
  <si>
    <t>$50,001 - $200,000</t>
  </si>
  <si>
    <t>&lt; $500,000</t>
  </si>
  <si>
    <t>4 pages + schedules</t>
  </si>
  <si>
    <t>Moderate</t>
  </si>
  <si>
    <t>Yes (if receipts &gt; $50K)</t>
  </si>
  <si>
    <t>Simpler than full 990</t>
  </si>
  <si>
    <t>990 (Long Form)</t>
  </si>
  <si>
    <t>&gt; $200,000 OR</t>
  </si>
  <si>
    <t>≥ $500,000</t>
  </si>
  <si>
    <t>12 pages + schedules</t>
  </si>
  <si>
    <t>Complex</t>
  </si>
  <si>
    <t>Yes</t>
  </si>
  <si>
    <t>Most comprehensive</t>
  </si>
  <si>
    <t>FILING DEADLINE CALCULATOR</t>
  </si>
  <si>
    <t>Fiscal Year End</t>
  </si>
  <si>
    <t>Filing Deadline (4.5 months)</t>
  </si>
  <si>
    <t>Extension Deadline (6 more months)</t>
  </si>
  <si>
    <t>December 31</t>
  </si>
  <si>
    <t>May 15</t>
  </si>
  <si>
    <t>November 15</t>
  </si>
  <si>
    <t>January 31</t>
  </si>
  <si>
    <t>June 15</t>
  </si>
  <si>
    <t>December 15</t>
  </si>
  <si>
    <t>February 28/29</t>
  </si>
  <si>
    <t>July 15</t>
  </si>
  <si>
    <t>January 15</t>
  </si>
  <si>
    <t>March 31</t>
  </si>
  <si>
    <t>August 15</t>
  </si>
  <si>
    <t>February 15</t>
  </si>
  <si>
    <t>April 30</t>
  </si>
  <si>
    <t>September 15</t>
  </si>
  <si>
    <t>March 15</t>
  </si>
  <si>
    <t>May 31</t>
  </si>
  <si>
    <t>October 15</t>
  </si>
  <si>
    <t>April 15</t>
  </si>
  <si>
    <t>June 30</t>
  </si>
  <si>
    <t>July 31</t>
  </si>
  <si>
    <t>August 31</t>
  </si>
  <si>
    <t>September 30</t>
  </si>
  <si>
    <t>October 31</t>
  </si>
  <si>
    <t>November 30</t>
  </si>
  <si>
    <t>CONSEQUENCES OF NOT FILING</t>
  </si>
  <si>
    <t>Year 1 Missed: IRS sends reminder notice</t>
  </si>
  <si>
    <t>Year 2 Missed: IRS sends warning notice</t>
  </si>
  <si>
    <t>Year 3 Missed: AUTOMATIC REVOCATION of tax-exempt status (publicly listed on IRS website)</t>
  </si>
  <si>
    <t>Penalties: $20/day up to $10,000 (small orgs) or $100/day up to $50,000 (large orgs)</t>
  </si>
  <si>
    <t>Reinstatement: Requires new Form 1023 or 1023-EZ application</t>
  </si>
  <si>
    <t>FORM 990 SCHEDULE CHECKLIST</t>
  </si>
  <si>
    <t>Schedule</t>
  </si>
  <si>
    <t>Title</t>
  </si>
  <si>
    <t>Required If...</t>
  </si>
  <si>
    <t>Required?</t>
  </si>
  <si>
    <t>Completed?</t>
  </si>
  <si>
    <t>A</t>
  </si>
  <si>
    <t>Public Charity Status</t>
  </si>
  <si>
    <t>All public charities (not private foundations)</t>
  </si>
  <si>
    <t>B</t>
  </si>
  <si>
    <t>Schedule of Contributors</t>
  </si>
  <si>
    <t>Received contributions &gt; $5,000</t>
  </si>
  <si>
    <t>C</t>
  </si>
  <si>
    <t>Political Campaign Activities</t>
  </si>
  <si>
    <t>Engaged in political campaign activities</t>
  </si>
  <si>
    <t>D</t>
  </si>
  <si>
    <t>Supplemental Financial Statements</t>
  </si>
  <si>
    <t>Donor advised funds, conservation easements</t>
  </si>
  <si>
    <t>E</t>
  </si>
  <si>
    <t>Schools</t>
  </si>
  <si>
    <t>Operates a school</t>
  </si>
  <si>
    <t>F</t>
  </si>
  <si>
    <t>Statement of Activities Outside US</t>
  </si>
  <si>
    <t>Activities outside the United States</t>
  </si>
  <si>
    <t>G</t>
  </si>
  <si>
    <t>Fundraising or Gaming</t>
  </si>
  <si>
    <t>Fundraising events or gaming activities</t>
  </si>
  <si>
    <t>H</t>
  </si>
  <si>
    <t>Hospitals</t>
  </si>
  <si>
    <t>Operates a hospital</t>
  </si>
  <si>
    <t>I</t>
  </si>
  <si>
    <t>Grants to Organizations</t>
  </si>
  <si>
    <t>Made grants to other organizations</t>
  </si>
  <si>
    <t>J</t>
  </si>
  <si>
    <t>Compensation Information</t>
  </si>
  <si>
    <t>Compensation &gt; $150,000 or board size &gt; 1</t>
  </si>
  <si>
    <t>K</t>
  </si>
  <si>
    <t>Supplemental Information on Tax-Exempt Bonds</t>
  </si>
  <si>
    <t>Issued tax-exempt bonds</t>
  </si>
  <si>
    <t>L</t>
  </si>
  <si>
    <t>Transactions with Interested Persons</t>
  </si>
  <si>
    <t>Loans, business transactions with board/officers</t>
  </si>
  <si>
    <t>M</t>
  </si>
  <si>
    <t>Noncash Contributions</t>
  </si>
  <si>
    <t>Received noncash contributions &gt; $25,000</t>
  </si>
  <si>
    <t>N</t>
  </si>
  <si>
    <t>Liquidation, Termination, Dissolution</t>
  </si>
  <si>
    <t>Liquidated, terminated, or dissolved</t>
  </si>
  <si>
    <t>O</t>
  </si>
  <si>
    <t>Supplemental Information</t>
  </si>
  <si>
    <t>Additional explanations needed</t>
  </si>
  <si>
    <t>R</t>
  </si>
  <si>
    <t>Related Organizations</t>
  </si>
  <si>
    <t>Has related organizations</t>
  </si>
  <si>
    <t>FORM 990 DEADLINE TRACKER</t>
  </si>
  <si>
    <t>Tax Year</t>
  </si>
  <si>
    <t>Filing Deadline</t>
  </si>
  <si>
    <t>Extension Filed?</t>
  </si>
  <si>
    <t>Extended Deadline</t>
  </si>
  <si>
    <t>Days Until Due</t>
  </si>
  <si>
    <t>2024</t>
  </si>
  <si>
    <t>12/31/2024</t>
  </si>
  <si>
    <t>05/15/2025</t>
  </si>
  <si>
    <t>No</t>
  </si>
  <si>
    <t>11/15/2025</t>
  </si>
  <si>
    <t>SCHEDULE A: PUBLIC SUPPORT CALCULATOR</t>
  </si>
  <si>
    <t>INSTRUCTIONS: Enter your organization's revenue for the past 5 years to calculate public support percentage.</t>
  </si>
  <si>
    <t>Public charities must maintain at least 33.33% public support to avoid private foundation status.</t>
  </si>
  <si>
    <t>Revenue Source</t>
  </si>
  <si>
    <t>Year 1</t>
  </si>
  <si>
    <t>Year 2</t>
  </si>
  <si>
    <t>Year 3</t>
  </si>
  <si>
    <t>Year 4</t>
  </si>
  <si>
    <t>Year 5</t>
  </si>
  <si>
    <t>5-Year Total</t>
  </si>
  <si>
    <t>Contributions &amp; Grants (Public)</t>
  </si>
  <si>
    <t>Contributions &amp; Grants (Unusual)</t>
  </si>
  <si>
    <t>Government Grants</t>
  </si>
  <si>
    <t>Program Service Revenue</t>
  </si>
  <si>
    <t>Investment Income</t>
  </si>
  <si>
    <t>Other Revenue</t>
  </si>
  <si>
    <t>TOTAL REVENUE</t>
  </si>
  <si>
    <t>PUBLIC SUPPORT (exclude unusual grants)</t>
  </si>
  <si>
    <t>PUBLIC SUPPORT PERCENTAGE</t>
  </si>
  <si>
    <t>RESULT INTERPRETATION</t>
  </si>
  <si>
    <t>If public support percentage ≥ 33.33%: PASS (Public Charity Status Maintained)</t>
  </si>
  <si>
    <t>If public support percentage &lt; 33.33%: FAIL (May need Facts &amp; Circumstances Test or risk private foundation status)</t>
  </si>
  <si>
    <t>SCHEDULE L: RELATED PARTY TRANSACTION LOG</t>
  </si>
  <si>
    <t>INSTRUCTIONS: Record all transactions with board members, officers, key employees, and their family members.</t>
  </si>
  <si>
    <t>Name</t>
  </si>
  <si>
    <t>Relationship</t>
  </si>
  <si>
    <t>Transaction Type</t>
  </si>
  <si>
    <t>Description</t>
  </si>
  <si>
    <t>Amount</t>
  </si>
  <si>
    <t>Date</t>
  </si>
  <si>
    <t>Approved by Board?</t>
  </si>
  <si>
    <t>John Smith</t>
  </si>
  <si>
    <t>Board Member</t>
  </si>
  <si>
    <t>Loan to Organization</t>
  </si>
  <si>
    <t>Short-term loan for operations</t>
  </si>
  <si>
    <t>$10,000</t>
  </si>
  <si>
    <t>01/15/2025</t>
  </si>
  <si>
    <t>Repaid in full 03/15/2025</t>
  </si>
  <si>
    <t>ABC Consulting</t>
  </si>
  <si>
    <t>Officer's Business</t>
  </si>
  <si>
    <t>Service Contract</t>
  </si>
  <si>
    <t>IT consulting services</t>
  </si>
  <si>
    <t>$5,000</t>
  </si>
  <si>
    <t>02/01/2025</t>
  </si>
  <si>
    <t>Market rate confirmed</t>
  </si>
  <si>
    <t>COMMON TRANSACTION TYPES:</t>
  </si>
  <si>
    <t>• Loans to/from interested persons</t>
  </si>
  <si>
    <t>• Business transactions (purchases, sales, leases)</t>
  </si>
  <si>
    <t>• Compensation and benefits</t>
  </si>
  <si>
    <t>• Expense reimbursements</t>
  </si>
  <si>
    <t>• Grants or assistance to interested persons</t>
  </si>
  <si>
    <t>• Use of organization assets by interested persons</t>
  </si>
  <si>
    <t>BOARD REVIEW CHECKLIST</t>
  </si>
  <si>
    <t>INSTRUCTIONS: Complete this checklist before filing Form 990. Board has a legal duty to review.</t>
  </si>
  <si>
    <t>Review Item</t>
  </si>
  <si>
    <t>Reviewed By</t>
  </si>
  <si>
    <t>Organization information accurate (name, EIN, address)</t>
  </si>
  <si>
    <t>Fiscal year and tax year correct</t>
  </si>
  <si>
    <t>Gross receipts calculated correctly</t>
  </si>
  <si>
    <t>All revenue sources reported accurately</t>
  </si>
  <si>
    <t>Functional expenses allocated properly (program, management, fundraising)</t>
  </si>
  <si>
    <t>Balance sheet reconciles to financial statements</t>
  </si>
  <si>
    <t>Program service accomplishments described accurately</t>
  </si>
  <si>
    <t>Governance policies reviewed and updated</t>
  </si>
  <si>
    <t>Officer and director compensation accurate</t>
  </si>
  <si>
    <t>All required schedules completed</t>
  </si>
  <si>
    <t>Schedule A public support test passed</t>
  </si>
  <si>
    <t>Schedule B contributors listed (if required)</t>
  </si>
  <si>
    <t>Schedule L related party transactions disclosed</t>
  </si>
  <si>
    <t>No prohibited political campaign activities</t>
  </si>
  <si>
    <t>Conflict of interest policy in place and followed</t>
  </si>
  <si>
    <t>Form 990 reviewed by full board or finance committee</t>
  </si>
  <si>
    <t>Board resolution approving Form 990 filing</t>
  </si>
  <si>
    <t>Copy of Form 990 retained for records (7 years minimum)</t>
  </si>
  <si>
    <t>SAMPLE BOARD RESOLUTION</t>
  </si>
  <si>
    <t>RESOLVED, that the Board of Directors has reviewed the Form 990 for the tax year ending [DATE], and hereby approves the filing of said Form 990 with the Internal Revenue Service. The Board confirms that the information contained in the Form 990 is accurate and complete to the best of its knowledge.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</si>
</sst>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20"/>
      <color rgb="FFFFFFFF"/>
      <name val="Calibri"/>
    </font>
    <font>
      <i/>
      <sz val="12"/>
      <color rgb="FFC08A2E"/>
      <name val="Calibri"/>
    </font>
    <font>
      <b/>
      <sz val="14"/>
      <color rgb="FF1F3A5F"/>
      <name val="Calibri"/>
    </font>
    <font>
      <b/>
      <sz val="11"/>
      <name val="Calibri"/>
    </font>
    <font>
      <b/>
      <sz val="11"/>
      <color rgb="FFFFFFFF"/>
      <name val="Calibri"/>
    </font>
    <font>
      <sz val="10"/>
      <name val="Calibri"/>
    </font>
    <font>
      <b/>
      <sz val="16"/>
      <color rgb="FFFFFFFF"/>
      <name val="Calibri"/>
    </font>
    <font>
      <b/>
      <sz val="14"/>
      <color rgb="FFB71C1C"/>
      <name val="Calibri"/>
    </font>
    <font>
      <sz val="10"/>
      <color rgb="FFB71C1C"/>
      <name val="Calibri"/>
    </font>
    <font>
      <i/>
      <sz val="11"/>
      <color rgb="FFE67E22"/>
      <name val="Calibri"/>
    </font>
    <font>
      <i/>
      <sz val="11"/>
      <color rgb="FFB71C1C"/>
      <name val="Calibri"/>
    </font>
    <font>
      <sz val="11"/>
      <color rgb="FF2E7D32"/>
      <name val="Calibri"/>
    </font>
    <font>
      <sz val="11"/>
      <color rgb="FFB71C1C"/>
      <name val="Calibri"/>
    </font>
    <font>
      <b/>
      <sz val="12"/>
      <color rgb="FF1F3A5F"/>
      <name val="Calibri"/>
    </font>
  </fonts>
  <fills count="5">
    <fill>
      <patternFill patternType="none"/>
    </fill>
    <fill>
      <patternFill patternType="gray125"/>
    </fill>
    <fill>
      <patternFill patternType="solid">
        <fgColor rgb="FF1F3A5F"/>
        <bgColor rgb="FF1F3A5F"/>
      </patternFill>
    </fill>
    <fill>
      <patternFill patternType="solid">
        <fgColor rgb="FFE3F2FD"/>
        <bgColor rgb="FFE3F2FD"/>
      </patternFill>
    </fill>
    <fill>
      <patternFill patternType="solid">
        <fgColor rgb="FFC08A2E"/>
        <bgColor rgb="FFC08A2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4" fillId="0" borderId="0" xfId="0" applyFont="1"/>
    <xf numFmtId="0" fontId="0" fillId="3" borderId="0" xfId="0" applyFill="1"/>
    <xf numFmtId="0" fontId="5" fillId="2" borderId="0" xfId="0" applyFont="1" applyFill="1" applyAlignment="1">
      <alignment horizontal="center"/>
    </xf>
    <xf numFmtId="0" fontId="0" fillId="0" borderId="0" xfId="0" applyAlignment="1">
      <alignment horizontal="center"/>
    </xf>
    <xf numFmtId="0" fontId="6" fillId="0" borderId="0" xfId="0" applyFont="1"/>
    <xf numFmtId="0" fontId="5" fillId="4" borderId="1" xfId="0" applyFont="1" applyFill="1" applyBorder="1" applyAlignment="1">
      <alignment horizontal="center" wrapText="1"/>
    </xf>
    <xf numFmtId="0" fontId="0" fillId="0" borderId="1" xfId="0" applyBorder="1" applyAlignment="1">
      <alignment horizontal="left" wrapText="1"/>
    </xf>
    <xf numFmtId="0" fontId="0" fillId="0" borderId="1" xfId="0" applyBorder="1" applyAlignment="1">
      <alignment horizontal="center" wrapText="1"/>
    </xf>
    <xf numFmtId="0" fontId="0" fillId="0" borderId="1" xfId="0" applyBorder="1" applyAlignment="1">
      <alignment horizontal="center"/>
    </xf>
    <xf numFmtId="10" fontId="0" fillId="0" borderId="0" xfId="0" applyNumberFormat="1"/>
    <xf numFmtId="0" fontId="0" fillId="0" borderId="1" xfId="0" applyBorder="1" applyAlignment="1">
      <alignment horizontal="left"/>
    </xf>
    <xf numFmtId="0" fontId="0" fillId="0" borderId="1" xfId="0" applyBorder="1"/>
    <xf numFmtId="0" fontId="2" fillId="0" borderId="0" xfId="0" applyFont="1" applyAlignment="1">
      <alignment horizontal="center"/>
    </xf>
    <xf numFmtId="0" fontId="0" fillId="0" borderId="0" xfId="0"/>
    <xf numFmtId="0" fontId="1" fillId="2" borderId="0" xfId="0" applyFont="1" applyFill="1" applyAlignment="1">
      <alignment horizontal="center" vertical="center"/>
    </xf>
    <xf numFmtId="0" fontId="3" fillId="0" borderId="0" xfId="0" applyFont="1"/>
    <xf numFmtId="0" fontId="7" fillId="2" borderId="0" xfId="0" applyFont="1" applyFill="1" applyAlignment="1">
      <alignment horizontal="center"/>
    </xf>
    <xf numFmtId="0" fontId="9" fillId="0" borderId="0" xfId="0" applyFont="1"/>
    <xf numFmtId="0" fontId="8" fillId="0" borderId="0" xfId="0" applyFont="1"/>
    <xf numFmtId="0" fontId="10" fillId="0" borderId="0" xfId="0" applyFont="1"/>
    <xf numFmtId="0" fontId="11" fillId="0" borderId="0" xfId="0" applyFont="1"/>
    <xf numFmtId="0" fontId="13" fillId="0" borderId="0" xfId="0" applyFont="1"/>
    <xf numFmtId="0" fontId="12" fillId="0" borderId="0" xfId="0" applyFont="1"/>
    <xf numFmtId="0" fontId="14"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sqref="A1:F1"/>
    </sheetView>
  </sheetViews>
  <sheetFormatPr defaultRowHeight="14.25" x14ac:dyDescent="0.45"/>
  <cols>
    <col min="1" max="1" width="35" customWidth="1"/>
    <col min="2" max="2" width="20" customWidth="1"/>
    <col min="3" max="3" width="25" customWidth="1"/>
    <col min="4" max="4" width="20" customWidth="1"/>
    <col min="5" max="6" width="15" customWidth="1"/>
  </cols>
  <sheetData>
    <row r="1" spans="1:6" ht="30" customHeight="1" x14ac:dyDescent="0.45">
      <c r="A1" s="15" t="s">
        <v>0</v>
      </c>
      <c r="B1" s="14"/>
      <c r="C1" s="14"/>
      <c r="D1" s="14"/>
      <c r="E1" s="14"/>
      <c r="F1" s="14"/>
    </row>
    <row r="2" spans="1:6" ht="15.75" x14ac:dyDescent="0.5">
      <c r="A2" s="13" t="s">
        <v>1</v>
      </c>
      <c r="B2" s="14"/>
      <c r="C2" s="14"/>
      <c r="D2" s="14"/>
      <c r="E2" s="14"/>
      <c r="F2" s="14"/>
    </row>
    <row r="4" spans="1:6" ht="18" x14ac:dyDescent="0.55000000000000004">
      <c r="A4" s="16" t="s">
        <v>2</v>
      </c>
      <c r="B4" s="14"/>
      <c r="C4" s="14"/>
      <c r="D4" s="14"/>
      <c r="E4" s="14"/>
      <c r="F4" s="14"/>
    </row>
    <row r="5" spans="1:6" x14ac:dyDescent="0.45">
      <c r="A5" s="1" t="s">
        <v>3</v>
      </c>
      <c r="B5" s="2"/>
      <c r="C5" s="1" t="s">
        <v>4</v>
      </c>
      <c r="D5" s="2"/>
    </row>
    <row r="6" spans="1:6" x14ac:dyDescent="0.45">
      <c r="A6" s="1" t="s">
        <v>5</v>
      </c>
      <c r="B6" s="2"/>
      <c r="C6" s="1" t="s">
        <v>6</v>
      </c>
      <c r="D6" s="2"/>
    </row>
    <row r="7" spans="1:6" x14ac:dyDescent="0.45">
      <c r="A7" s="1" t="s">
        <v>7</v>
      </c>
      <c r="B7" s="2"/>
      <c r="C7" s="1" t="s">
        <v>8</v>
      </c>
      <c r="D7" s="2"/>
    </row>
    <row r="8" spans="1:6" x14ac:dyDescent="0.45">
      <c r="A8" s="1" t="s">
        <v>9</v>
      </c>
      <c r="B8" s="2"/>
      <c r="C8" s="1" t="s">
        <v>10</v>
      </c>
      <c r="D8" s="2"/>
    </row>
    <row r="9" spans="1:6" x14ac:dyDescent="0.45">
      <c r="A9" s="1" t="s">
        <v>11</v>
      </c>
      <c r="B9" s="2"/>
      <c r="C9" s="1" t="s">
        <v>12</v>
      </c>
      <c r="D9" s="2"/>
    </row>
    <row r="10" spans="1:6" x14ac:dyDescent="0.45">
      <c r="A10" s="1" t="s">
        <v>13</v>
      </c>
      <c r="B10" s="2"/>
      <c r="C10" s="1" t="s">
        <v>14</v>
      </c>
      <c r="D10" s="2"/>
    </row>
    <row r="12" spans="1:6" ht="18" x14ac:dyDescent="0.55000000000000004">
      <c r="A12" s="16" t="s">
        <v>15</v>
      </c>
      <c r="B12" s="14"/>
      <c r="C12" s="14"/>
      <c r="D12" s="14"/>
      <c r="E12" s="14"/>
      <c r="F12" s="14"/>
    </row>
    <row r="13" spans="1:6" x14ac:dyDescent="0.45">
      <c r="A13" s="3" t="s">
        <v>16</v>
      </c>
      <c r="B13" s="3" t="s">
        <v>17</v>
      </c>
      <c r="C13" s="3" t="s">
        <v>18</v>
      </c>
    </row>
    <row r="14" spans="1:6" x14ac:dyDescent="0.45">
      <c r="A14" t="s">
        <v>19</v>
      </c>
      <c r="B14" s="4"/>
    </row>
    <row r="15" spans="1:6" x14ac:dyDescent="0.45">
      <c r="A15" t="s">
        <v>20</v>
      </c>
      <c r="B15" s="4"/>
    </row>
    <row r="16" spans="1:6" x14ac:dyDescent="0.45">
      <c r="A16" t="s">
        <v>21</v>
      </c>
      <c r="B16" s="4"/>
    </row>
    <row r="17" spans="1:6" x14ac:dyDescent="0.45">
      <c r="A17" t="s">
        <v>22</v>
      </c>
      <c r="B17" s="4"/>
    </row>
    <row r="18" spans="1:6" x14ac:dyDescent="0.45">
      <c r="A18" t="s">
        <v>23</v>
      </c>
      <c r="B18" s="4" t="str">
        <f ca="1">IF(D8="","",D8-TODAY())</f>
        <v/>
      </c>
    </row>
    <row r="19" spans="1:6" x14ac:dyDescent="0.45">
      <c r="A19" t="s">
        <v>24</v>
      </c>
      <c r="B19" s="4"/>
      <c r="C19" t="s">
        <v>25</v>
      </c>
    </row>
    <row r="21" spans="1:6" ht="18" x14ac:dyDescent="0.55000000000000004">
      <c r="A21" s="16" t="s">
        <v>26</v>
      </c>
      <c r="B21" s="14"/>
      <c r="C21" s="14"/>
      <c r="D21" s="14"/>
      <c r="E21" s="14"/>
      <c r="F21" s="14"/>
    </row>
    <row r="22" spans="1:6" x14ac:dyDescent="0.45">
      <c r="A22" s="5" t="s">
        <v>27</v>
      </c>
    </row>
    <row r="23" spans="1:6" x14ac:dyDescent="0.45">
      <c r="A23" s="5" t="s">
        <v>28</v>
      </c>
    </row>
    <row r="24" spans="1:6" x14ac:dyDescent="0.45">
      <c r="A24" s="5" t="s">
        <v>29</v>
      </c>
    </row>
    <row r="25" spans="1:6" x14ac:dyDescent="0.45">
      <c r="A25" s="5" t="s">
        <v>30</v>
      </c>
    </row>
    <row r="26" spans="1:6" x14ac:dyDescent="0.45">
      <c r="A26" s="5" t="s">
        <v>31</v>
      </c>
    </row>
    <row r="27" spans="1:6" x14ac:dyDescent="0.45">
      <c r="A27" s="5" t="s">
        <v>32</v>
      </c>
    </row>
  </sheetData>
  <mergeCells count="5">
    <mergeCell ref="A2:F2"/>
    <mergeCell ref="A1:F1"/>
    <mergeCell ref="A12:F12"/>
    <mergeCell ref="A4:F4"/>
    <mergeCell ref="A21:F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
  <sheetViews>
    <sheetView workbookViewId="0"/>
  </sheetViews>
  <sheetFormatPr defaultRowHeight="14.25" x14ac:dyDescent="0.45"/>
  <cols>
    <col min="1" max="1" width="20" customWidth="1"/>
    <col min="2" max="2" width="18" customWidth="1"/>
    <col min="3" max="3" width="15" customWidth="1"/>
    <col min="4" max="4" width="20" customWidth="1"/>
    <col min="5" max="5" width="15" customWidth="1"/>
    <col min="6" max="6" width="18" customWidth="1"/>
    <col min="7" max="7" width="25" customWidth="1"/>
  </cols>
  <sheetData>
    <row r="1" spans="1:7" ht="21" x14ac:dyDescent="0.65">
      <c r="A1" s="17" t="s">
        <v>33</v>
      </c>
      <c r="B1" s="14"/>
      <c r="C1" s="14"/>
      <c r="D1" s="14"/>
      <c r="E1" s="14"/>
      <c r="F1" s="14"/>
      <c r="G1" s="14"/>
    </row>
    <row r="3" spans="1:7" ht="18" x14ac:dyDescent="0.55000000000000004">
      <c r="A3" s="16" t="s">
        <v>34</v>
      </c>
      <c r="B3" s="14"/>
      <c r="C3" s="14"/>
      <c r="D3" s="14"/>
      <c r="E3" s="14"/>
      <c r="F3" s="14"/>
      <c r="G3" s="14"/>
    </row>
    <row r="4" spans="1:7" x14ac:dyDescent="0.45">
      <c r="A4" s="6" t="s">
        <v>35</v>
      </c>
      <c r="B4" s="6" t="s">
        <v>36</v>
      </c>
      <c r="C4" s="6" t="s">
        <v>37</v>
      </c>
      <c r="D4" s="6" t="s">
        <v>38</v>
      </c>
      <c r="E4" s="6" t="s">
        <v>39</v>
      </c>
      <c r="F4" s="6" t="s">
        <v>40</v>
      </c>
      <c r="G4" s="6" t="s">
        <v>18</v>
      </c>
    </row>
    <row r="5" spans="1:7" ht="28.5" x14ac:dyDescent="0.45">
      <c r="A5" s="7" t="s">
        <v>41</v>
      </c>
      <c r="B5" s="8" t="s">
        <v>42</v>
      </c>
      <c r="C5" s="8" t="s">
        <v>43</v>
      </c>
      <c r="D5" s="7" t="s">
        <v>44</v>
      </c>
      <c r="E5" s="7" t="s">
        <v>45</v>
      </c>
      <c r="F5" s="8" t="s">
        <v>46</v>
      </c>
      <c r="G5" s="7" t="s">
        <v>47</v>
      </c>
    </row>
    <row r="6" spans="1:7" ht="28.5" x14ac:dyDescent="0.45">
      <c r="A6" s="7" t="s">
        <v>48</v>
      </c>
      <c r="B6" s="8" t="s">
        <v>49</v>
      </c>
      <c r="C6" s="8" t="s">
        <v>50</v>
      </c>
      <c r="D6" s="7" t="s">
        <v>51</v>
      </c>
      <c r="E6" s="7" t="s">
        <v>52</v>
      </c>
      <c r="F6" s="8" t="s">
        <v>53</v>
      </c>
      <c r="G6" s="7" t="s">
        <v>54</v>
      </c>
    </row>
    <row r="7" spans="1:7" x14ac:dyDescent="0.45">
      <c r="A7" s="7" t="s">
        <v>55</v>
      </c>
      <c r="B7" s="8" t="s">
        <v>56</v>
      </c>
      <c r="C7" s="8" t="s">
        <v>57</v>
      </c>
      <c r="D7" s="7" t="s">
        <v>58</v>
      </c>
      <c r="E7" s="7" t="s">
        <v>59</v>
      </c>
      <c r="F7" s="8" t="s">
        <v>60</v>
      </c>
      <c r="G7" s="7" t="s">
        <v>61</v>
      </c>
    </row>
    <row r="9" spans="1:7" ht="18" x14ac:dyDescent="0.55000000000000004">
      <c r="A9" s="16" t="s">
        <v>62</v>
      </c>
      <c r="B9" s="14"/>
      <c r="C9" s="14"/>
      <c r="D9" s="14"/>
      <c r="E9" s="14"/>
      <c r="F9" s="14"/>
      <c r="G9" s="14"/>
    </row>
    <row r="10" spans="1:7" ht="42.75" x14ac:dyDescent="0.45">
      <c r="A10" s="6" t="s">
        <v>63</v>
      </c>
      <c r="B10" s="6" t="s">
        <v>64</v>
      </c>
      <c r="C10" s="6" t="s">
        <v>65</v>
      </c>
    </row>
    <row r="11" spans="1:7" x14ac:dyDescent="0.45">
      <c r="A11" s="9" t="s">
        <v>66</v>
      </c>
      <c r="B11" s="9" t="s">
        <v>67</v>
      </c>
      <c r="C11" s="9" t="s">
        <v>68</v>
      </c>
    </row>
    <row r="12" spans="1:7" x14ac:dyDescent="0.45">
      <c r="A12" s="9" t="s">
        <v>69</v>
      </c>
      <c r="B12" s="9" t="s">
        <v>70</v>
      </c>
      <c r="C12" s="9" t="s">
        <v>71</v>
      </c>
    </row>
    <row r="13" spans="1:7" x14ac:dyDescent="0.45">
      <c r="A13" s="9" t="s">
        <v>72</v>
      </c>
      <c r="B13" s="9" t="s">
        <v>73</v>
      </c>
      <c r="C13" s="9" t="s">
        <v>74</v>
      </c>
    </row>
    <row r="14" spans="1:7" x14ac:dyDescent="0.45">
      <c r="A14" s="9" t="s">
        <v>75</v>
      </c>
      <c r="B14" s="9" t="s">
        <v>76</v>
      </c>
      <c r="C14" s="9" t="s">
        <v>77</v>
      </c>
    </row>
    <row r="15" spans="1:7" x14ac:dyDescent="0.45">
      <c r="A15" s="9" t="s">
        <v>78</v>
      </c>
      <c r="B15" s="9" t="s">
        <v>79</v>
      </c>
      <c r="C15" s="9" t="s">
        <v>80</v>
      </c>
    </row>
    <row r="16" spans="1:7" x14ac:dyDescent="0.45">
      <c r="A16" s="9" t="s">
        <v>81</v>
      </c>
      <c r="B16" s="9" t="s">
        <v>82</v>
      </c>
      <c r="C16" s="9" t="s">
        <v>83</v>
      </c>
    </row>
    <row r="17" spans="1:7" x14ac:dyDescent="0.45">
      <c r="A17" s="9" t="s">
        <v>84</v>
      </c>
      <c r="B17" s="9" t="s">
        <v>68</v>
      </c>
      <c r="C17" s="9" t="s">
        <v>67</v>
      </c>
    </row>
    <row r="18" spans="1:7" x14ac:dyDescent="0.45">
      <c r="A18" s="9" t="s">
        <v>85</v>
      </c>
      <c r="B18" s="9" t="s">
        <v>71</v>
      </c>
      <c r="C18" s="9" t="s">
        <v>70</v>
      </c>
    </row>
    <row r="19" spans="1:7" x14ac:dyDescent="0.45">
      <c r="A19" s="9" t="s">
        <v>86</v>
      </c>
      <c r="B19" s="9" t="s">
        <v>74</v>
      </c>
      <c r="C19" s="9" t="s">
        <v>73</v>
      </c>
    </row>
    <row r="20" spans="1:7" x14ac:dyDescent="0.45">
      <c r="A20" s="9" t="s">
        <v>87</v>
      </c>
      <c r="B20" s="9" t="s">
        <v>77</v>
      </c>
      <c r="C20" s="9" t="s">
        <v>76</v>
      </c>
    </row>
    <row r="21" spans="1:7" x14ac:dyDescent="0.45">
      <c r="A21" s="9" t="s">
        <v>88</v>
      </c>
      <c r="B21" s="9" t="s">
        <v>80</v>
      </c>
      <c r="C21" s="9" t="s">
        <v>79</v>
      </c>
    </row>
    <row r="22" spans="1:7" x14ac:dyDescent="0.45">
      <c r="A22" s="9" t="s">
        <v>89</v>
      </c>
      <c r="B22" s="9" t="s">
        <v>83</v>
      </c>
      <c r="C22" s="9" t="s">
        <v>82</v>
      </c>
    </row>
    <row r="24" spans="1:7" ht="18" x14ac:dyDescent="0.55000000000000004">
      <c r="A24" s="19" t="s">
        <v>90</v>
      </c>
      <c r="B24" s="14"/>
      <c r="C24" s="14"/>
      <c r="D24" s="14"/>
      <c r="E24" s="14"/>
      <c r="F24" s="14"/>
      <c r="G24" s="14"/>
    </row>
    <row r="25" spans="1:7" x14ac:dyDescent="0.45">
      <c r="A25" s="18" t="s">
        <v>91</v>
      </c>
      <c r="B25" s="14"/>
      <c r="C25" s="14"/>
      <c r="D25" s="14"/>
      <c r="E25" s="14"/>
      <c r="F25" s="14"/>
      <c r="G25" s="14"/>
    </row>
    <row r="26" spans="1:7" x14ac:dyDescent="0.45">
      <c r="A26" s="18" t="s">
        <v>92</v>
      </c>
      <c r="B26" s="14"/>
      <c r="C26" s="14"/>
      <c r="D26" s="14"/>
      <c r="E26" s="14"/>
      <c r="F26" s="14"/>
      <c r="G26" s="14"/>
    </row>
    <row r="27" spans="1:7" x14ac:dyDescent="0.45">
      <c r="A27" s="18" t="s">
        <v>93</v>
      </c>
      <c r="B27" s="14"/>
      <c r="C27" s="14"/>
      <c r="D27" s="14"/>
      <c r="E27" s="14"/>
      <c r="F27" s="14"/>
      <c r="G27" s="14"/>
    </row>
    <row r="28" spans="1:7" x14ac:dyDescent="0.45">
      <c r="A28" s="18" t="s">
        <v>94</v>
      </c>
      <c r="B28" s="14"/>
      <c r="C28" s="14"/>
      <c r="D28" s="14"/>
      <c r="E28" s="14"/>
      <c r="F28" s="14"/>
      <c r="G28" s="14"/>
    </row>
    <row r="29" spans="1:7" x14ac:dyDescent="0.45">
      <c r="A29" s="18" t="s">
        <v>95</v>
      </c>
      <c r="B29" s="14"/>
      <c r="C29" s="14"/>
      <c r="D29" s="14"/>
      <c r="E29" s="14"/>
      <c r="F29" s="14"/>
      <c r="G29" s="14"/>
    </row>
  </sheetData>
  <mergeCells count="9">
    <mergeCell ref="A29:G29"/>
    <mergeCell ref="A25:G25"/>
    <mergeCell ref="A28:G28"/>
    <mergeCell ref="A1:G1"/>
    <mergeCell ref="A9:G9"/>
    <mergeCell ref="A27:G27"/>
    <mergeCell ref="A3:G3"/>
    <mergeCell ref="A26:G26"/>
    <mergeCell ref="A24:G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workbookViewId="0"/>
  </sheetViews>
  <sheetFormatPr defaultRowHeight="14.25" x14ac:dyDescent="0.45"/>
  <cols>
    <col min="1" max="1" width="10" customWidth="1"/>
    <col min="2" max="2" width="30" customWidth="1"/>
    <col min="3" max="3" width="40" customWidth="1"/>
    <col min="4" max="5" width="12" customWidth="1"/>
    <col min="6" max="6" width="30" customWidth="1"/>
  </cols>
  <sheetData>
    <row r="1" spans="1:6" ht="21" x14ac:dyDescent="0.65">
      <c r="A1" s="17" t="s">
        <v>96</v>
      </c>
      <c r="B1" s="14"/>
      <c r="C1" s="14"/>
      <c r="D1" s="14"/>
      <c r="E1" s="14"/>
      <c r="F1" s="14"/>
    </row>
    <row r="2" spans="1:6" x14ac:dyDescent="0.45">
      <c r="A2" s="6" t="s">
        <v>97</v>
      </c>
      <c r="B2" s="6" t="s">
        <v>98</v>
      </c>
      <c r="C2" s="6" t="s">
        <v>99</v>
      </c>
      <c r="D2" s="6" t="s">
        <v>100</v>
      </c>
      <c r="E2" s="6" t="s">
        <v>101</v>
      </c>
      <c r="F2" s="6" t="s">
        <v>18</v>
      </c>
    </row>
    <row r="3" spans="1:6" x14ac:dyDescent="0.45">
      <c r="A3" s="8" t="s">
        <v>102</v>
      </c>
      <c r="B3" s="7" t="s">
        <v>103</v>
      </c>
      <c r="C3" s="7" t="s">
        <v>104</v>
      </c>
      <c r="D3" s="8"/>
      <c r="E3" s="8"/>
      <c r="F3" s="7"/>
    </row>
    <row r="4" spans="1:6" x14ac:dyDescent="0.45">
      <c r="A4" s="8" t="s">
        <v>105</v>
      </c>
      <c r="B4" s="7" t="s">
        <v>106</v>
      </c>
      <c r="C4" s="7" t="s">
        <v>107</v>
      </c>
      <c r="D4" s="8"/>
      <c r="E4" s="8"/>
      <c r="F4" s="7"/>
    </row>
    <row r="5" spans="1:6" x14ac:dyDescent="0.45">
      <c r="A5" s="8" t="s">
        <v>108</v>
      </c>
      <c r="B5" s="7" t="s">
        <v>109</v>
      </c>
      <c r="C5" s="7" t="s">
        <v>110</v>
      </c>
      <c r="D5" s="8"/>
      <c r="E5" s="8"/>
      <c r="F5" s="7"/>
    </row>
    <row r="6" spans="1:6" x14ac:dyDescent="0.45">
      <c r="A6" s="8" t="s">
        <v>111</v>
      </c>
      <c r="B6" s="7" t="s">
        <v>112</v>
      </c>
      <c r="C6" s="7" t="s">
        <v>113</v>
      </c>
      <c r="D6" s="8"/>
      <c r="E6" s="8"/>
      <c r="F6" s="7"/>
    </row>
    <row r="7" spans="1:6" x14ac:dyDescent="0.45">
      <c r="A7" s="8" t="s">
        <v>114</v>
      </c>
      <c r="B7" s="7" t="s">
        <v>115</v>
      </c>
      <c r="C7" s="7" t="s">
        <v>116</v>
      </c>
      <c r="D7" s="8"/>
      <c r="E7" s="8"/>
      <c r="F7" s="7"/>
    </row>
    <row r="8" spans="1:6" x14ac:dyDescent="0.45">
      <c r="A8" s="8" t="s">
        <v>117</v>
      </c>
      <c r="B8" s="7" t="s">
        <v>118</v>
      </c>
      <c r="C8" s="7" t="s">
        <v>119</v>
      </c>
      <c r="D8" s="8"/>
      <c r="E8" s="8"/>
      <c r="F8" s="7"/>
    </row>
    <row r="9" spans="1:6" x14ac:dyDescent="0.45">
      <c r="A9" s="8" t="s">
        <v>120</v>
      </c>
      <c r="B9" s="7" t="s">
        <v>121</v>
      </c>
      <c r="C9" s="7" t="s">
        <v>122</v>
      </c>
      <c r="D9" s="8"/>
      <c r="E9" s="8"/>
      <c r="F9" s="7"/>
    </row>
    <row r="10" spans="1:6" x14ac:dyDescent="0.45">
      <c r="A10" s="8" t="s">
        <v>123</v>
      </c>
      <c r="B10" s="7" t="s">
        <v>124</v>
      </c>
      <c r="C10" s="7" t="s">
        <v>125</v>
      </c>
      <c r="D10" s="8"/>
      <c r="E10" s="8"/>
      <c r="F10" s="7"/>
    </row>
    <row r="11" spans="1:6" x14ac:dyDescent="0.45">
      <c r="A11" s="8" t="s">
        <v>126</v>
      </c>
      <c r="B11" s="7" t="s">
        <v>127</v>
      </c>
      <c r="C11" s="7" t="s">
        <v>128</v>
      </c>
      <c r="D11" s="8"/>
      <c r="E11" s="8"/>
      <c r="F11" s="7"/>
    </row>
    <row r="12" spans="1:6" x14ac:dyDescent="0.45">
      <c r="A12" s="8" t="s">
        <v>129</v>
      </c>
      <c r="B12" s="7" t="s">
        <v>130</v>
      </c>
      <c r="C12" s="7" t="s">
        <v>131</v>
      </c>
      <c r="D12" s="8"/>
      <c r="E12" s="8"/>
      <c r="F12" s="7"/>
    </row>
    <row r="13" spans="1:6" ht="28.5" x14ac:dyDescent="0.45">
      <c r="A13" s="8" t="s">
        <v>132</v>
      </c>
      <c r="B13" s="7" t="s">
        <v>133</v>
      </c>
      <c r="C13" s="7" t="s">
        <v>134</v>
      </c>
      <c r="D13" s="8"/>
      <c r="E13" s="8"/>
      <c r="F13" s="7"/>
    </row>
    <row r="14" spans="1:6" x14ac:dyDescent="0.45">
      <c r="A14" s="8" t="s">
        <v>135</v>
      </c>
      <c r="B14" s="7" t="s">
        <v>136</v>
      </c>
      <c r="C14" s="7" t="s">
        <v>137</v>
      </c>
      <c r="D14" s="8"/>
      <c r="E14" s="8"/>
      <c r="F14" s="7"/>
    </row>
    <row r="15" spans="1:6" x14ac:dyDescent="0.45">
      <c r="A15" s="8" t="s">
        <v>138</v>
      </c>
      <c r="B15" s="7" t="s">
        <v>139</v>
      </c>
      <c r="C15" s="7" t="s">
        <v>140</v>
      </c>
      <c r="D15" s="8"/>
      <c r="E15" s="8"/>
      <c r="F15" s="7"/>
    </row>
    <row r="16" spans="1:6" ht="28.5" x14ac:dyDescent="0.45">
      <c r="A16" s="8" t="s">
        <v>141</v>
      </c>
      <c r="B16" s="7" t="s">
        <v>142</v>
      </c>
      <c r="C16" s="7" t="s">
        <v>143</v>
      </c>
      <c r="D16" s="8"/>
      <c r="E16" s="8"/>
      <c r="F16" s="7"/>
    </row>
    <row r="17" spans="1:6" x14ac:dyDescent="0.45">
      <c r="A17" s="8" t="s">
        <v>144</v>
      </c>
      <c r="B17" s="7" t="s">
        <v>145</v>
      </c>
      <c r="C17" s="7" t="s">
        <v>146</v>
      </c>
      <c r="D17" s="8"/>
      <c r="E17" s="8"/>
      <c r="F17" s="7"/>
    </row>
    <row r="18" spans="1:6" x14ac:dyDescent="0.45">
      <c r="A18" s="8" t="s">
        <v>147</v>
      </c>
      <c r="B18" s="7" t="s">
        <v>148</v>
      </c>
      <c r="C18" s="7" t="s">
        <v>149</v>
      </c>
      <c r="D18" s="8"/>
      <c r="E18" s="8"/>
      <c r="F18" s="7"/>
    </row>
  </sheetData>
  <mergeCells count="1">
    <mergeCell ref="A1:F1"/>
  </mergeCells>
  <dataValidations count="2">
    <dataValidation type="list" allowBlank="1" sqref="D3:D18" xr:uid="{00000000-0002-0000-0200-000000000000}">
      <formula1>"Yes,No,N/A"</formula1>
    </dataValidation>
    <dataValidation type="list" allowBlank="1" sqref="E3:E18" xr:uid="{00000000-0002-0000-0200-000001000000}">
      <formula1>"Yes,No,In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
  <sheetViews>
    <sheetView workbookViewId="0"/>
  </sheetViews>
  <sheetFormatPr defaultRowHeight="14.25" x14ac:dyDescent="0.45"/>
  <cols>
    <col min="1" max="1" width="12" customWidth="1"/>
    <col min="2" max="5" width="18" customWidth="1"/>
    <col min="6" max="7" width="15" customWidth="1"/>
  </cols>
  <sheetData>
    <row r="1" spans="1:7" ht="21" x14ac:dyDescent="0.65">
      <c r="A1" s="17" t="s">
        <v>150</v>
      </c>
      <c r="B1" s="14"/>
      <c r="C1" s="14"/>
      <c r="D1" s="14"/>
      <c r="E1" s="14"/>
      <c r="F1" s="14"/>
      <c r="G1" s="14"/>
    </row>
    <row r="2" spans="1:7" x14ac:dyDescent="0.45">
      <c r="A2" s="6" t="s">
        <v>151</v>
      </c>
      <c r="B2" s="6" t="s">
        <v>63</v>
      </c>
      <c r="C2" s="6" t="s">
        <v>152</v>
      </c>
      <c r="D2" s="6" t="s">
        <v>153</v>
      </c>
      <c r="E2" s="6" t="s">
        <v>154</v>
      </c>
      <c r="F2" s="6" t="s">
        <v>17</v>
      </c>
      <c r="G2" s="6" t="s">
        <v>155</v>
      </c>
    </row>
    <row r="3" spans="1:7" x14ac:dyDescent="0.45">
      <c r="A3" t="s">
        <v>156</v>
      </c>
      <c r="B3" t="s">
        <v>157</v>
      </c>
      <c r="C3" t="s">
        <v>158</v>
      </c>
      <c r="D3" t="s">
        <v>159</v>
      </c>
      <c r="E3" t="s">
        <v>160</v>
      </c>
      <c r="F3" t="str">
        <f ca="1">IF(D3="","",IF(D3="Yes",IF(E3&lt;TODAY(),"OVERDUE",IF(E3&lt;=TODAY()+90,"DUE SOON","CURRENT")),IF(C3&lt;TODAY(),"OVERDUE",IF(C3&lt;=TODAY()+90,"DUE SOON","CURRENT"))))</f>
        <v>CURRENT</v>
      </c>
      <c r="G3">
        <f ca="1">IF(D3="Yes",E3-TODAY(),C3-TODAY())</f>
        <v>-356</v>
      </c>
    </row>
  </sheetData>
  <mergeCells count="1">
    <mergeCell ref="A1:G1"/>
  </mergeCells>
  <dataValidations count="1">
    <dataValidation type="list" allowBlank="1" sqref="D3:D20" xr:uid="{00000000-0002-0000-0300-000000000000}">
      <formula1>"Yes,No"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workbookViewId="0"/>
  </sheetViews>
  <sheetFormatPr defaultRowHeight="14.25" x14ac:dyDescent="0.45"/>
  <cols>
    <col min="1" max="7" width="18" customWidth="1"/>
  </cols>
  <sheetData>
    <row r="1" spans="1:7" ht="21" x14ac:dyDescent="0.65">
      <c r="A1" s="17" t="s">
        <v>161</v>
      </c>
      <c r="B1" s="14"/>
      <c r="C1" s="14"/>
      <c r="D1" s="14"/>
      <c r="E1" s="14"/>
      <c r="F1" s="14"/>
      <c r="G1" s="14"/>
    </row>
    <row r="3" spans="1:7" x14ac:dyDescent="0.45">
      <c r="A3" s="20" t="s">
        <v>162</v>
      </c>
      <c r="B3" s="14"/>
      <c r="C3" s="14"/>
      <c r="D3" s="14"/>
      <c r="E3" s="14"/>
      <c r="F3" s="14"/>
      <c r="G3" s="14"/>
    </row>
    <row r="4" spans="1:7" x14ac:dyDescent="0.45">
      <c r="A4" s="21" t="s">
        <v>163</v>
      </c>
      <c r="B4" s="14"/>
      <c r="C4" s="14"/>
      <c r="D4" s="14"/>
      <c r="E4" s="14"/>
      <c r="F4" s="14"/>
      <c r="G4" s="14"/>
    </row>
    <row r="6" spans="1:7" x14ac:dyDescent="0.45">
      <c r="A6" s="6" t="s">
        <v>164</v>
      </c>
      <c r="B6" s="6" t="s">
        <v>165</v>
      </c>
      <c r="C6" s="6" t="s">
        <v>166</v>
      </c>
      <c r="D6" s="6" t="s">
        <v>167</v>
      </c>
      <c r="E6" s="6" t="s">
        <v>168</v>
      </c>
      <c r="F6" s="6" t="s">
        <v>169</v>
      </c>
      <c r="G6" s="6" t="s">
        <v>170</v>
      </c>
    </row>
    <row r="7" spans="1:7" x14ac:dyDescent="0.45">
      <c r="A7" t="s">
        <v>171</v>
      </c>
      <c r="G7">
        <f t="shared" ref="G7:G12" si="0">SUM(B7:F7)</f>
        <v>0</v>
      </c>
    </row>
    <row r="8" spans="1:7" x14ac:dyDescent="0.45">
      <c r="A8" t="s">
        <v>172</v>
      </c>
      <c r="G8">
        <f t="shared" si="0"/>
        <v>0</v>
      </c>
    </row>
    <row r="9" spans="1:7" x14ac:dyDescent="0.45">
      <c r="A9" t="s">
        <v>173</v>
      </c>
      <c r="G9">
        <f t="shared" si="0"/>
        <v>0</v>
      </c>
    </row>
    <row r="10" spans="1:7" x14ac:dyDescent="0.45">
      <c r="A10" t="s">
        <v>174</v>
      </c>
      <c r="G10">
        <f t="shared" si="0"/>
        <v>0</v>
      </c>
    </row>
    <row r="11" spans="1:7" x14ac:dyDescent="0.45">
      <c r="A11" t="s">
        <v>175</v>
      </c>
      <c r="G11">
        <f t="shared" si="0"/>
        <v>0</v>
      </c>
    </row>
    <row r="12" spans="1:7" x14ac:dyDescent="0.45">
      <c r="A12" t="s">
        <v>176</v>
      </c>
      <c r="G12">
        <f t="shared" si="0"/>
        <v>0</v>
      </c>
    </row>
    <row r="13" spans="1:7" x14ac:dyDescent="0.45">
      <c r="A13" s="1" t="s">
        <v>177</v>
      </c>
      <c r="G13">
        <f>SUM(G7:G12)</f>
        <v>0</v>
      </c>
    </row>
    <row r="15" spans="1:7" x14ac:dyDescent="0.45">
      <c r="A15" s="1" t="s">
        <v>178</v>
      </c>
      <c r="G15">
        <f>G7+G9+G10</f>
        <v>0</v>
      </c>
    </row>
    <row r="16" spans="1:7" x14ac:dyDescent="0.45">
      <c r="A16" s="1" t="s">
        <v>179</v>
      </c>
      <c r="G16" s="10">
        <f>IF(G13=0,0,G15/G13)</f>
        <v>0</v>
      </c>
    </row>
    <row r="18" spans="1:7" ht="18" x14ac:dyDescent="0.55000000000000004">
      <c r="A18" s="16" t="s">
        <v>180</v>
      </c>
      <c r="B18" s="14"/>
      <c r="C18" s="14"/>
      <c r="D18" s="14"/>
      <c r="E18" s="14"/>
      <c r="F18" s="14"/>
      <c r="G18" s="14"/>
    </row>
    <row r="19" spans="1:7" x14ac:dyDescent="0.45">
      <c r="A19" s="23" t="s">
        <v>181</v>
      </c>
      <c r="B19" s="14"/>
      <c r="C19" s="14"/>
      <c r="D19" s="14"/>
      <c r="E19" s="14"/>
      <c r="F19" s="14"/>
      <c r="G19" s="14"/>
    </row>
    <row r="20" spans="1:7" x14ac:dyDescent="0.45">
      <c r="A20" s="22" t="s">
        <v>182</v>
      </c>
      <c r="B20" s="14"/>
      <c r="C20" s="14"/>
      <c r="D20" s="14"/>
      <c r="E20" s="14"/>
      <c r="F20" s="14"/>
      <c r="G20" s="14"/>
    </row>
  </sheetData>
  <mergeCells count="6">
    <mergeCell ref="A1:G1"/>
    <mergeCell ref="A18:G18"/>
    <mergeCell ref="A3:G3"/>
    <mergeCell ref="A4:G4"/>
    <mergeCell ref="A20:G20"/>
    <mergeCell ref="A19:G1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6"/>
  <sheetViews>
    <sheetView workbookViewId="0"/>
  </sheetViews>
  <sheetFormatPr defaultRowHeight="14.25" x14ac:dyDescent="0.45"/>
  <cols>
    <col min="1" max="1" width="20" customWidth="1"/>
    <col min="2" max="2" width="18" customWidth="1"/>
    <col min="3" max="3" width="20" customWidth="1"/>
    <col min="4" max="4" width="30" customWidth="1"/>
    <col min="5" max="5" width="15" customWidth="1"/>
    <col min="6" max="6" width="12" customWidth="1"/>
    <col min="7" max="7" width="18" customWidth="1"/>
    <col min="8" max="8" width="30" customWidth="1"/>
  </cols>
  <sheetData>
    <row r="1" spans="1:8" ht="21" x14ac:dyDescent="0.65">
      <c r="A1" s="17" t="s">
        <v>183</v>
      </c>
      <c r="B1" s="14"/>
      <c r="C1" s="14"/>
      <c r="D1" s="14"/>
      <c r="E1" s="14"/>
      <c r="F1" s="14"/>
      <c r="G1" s="14"/>
      <c r="H1" s="14"/>
    </row>
    <row r="3" spans="1:8" x14ac:dyDescent="0.45">
      <c r="A3" s="20" t="s">
        <v>184</v>
      </c>
      <c r="B3" s="14"/>
      <c r="C3" s="14"/>
      <c r="D3" s="14"/>
      <c r="E3" s="14"/>
      <c r="F3" s="14"/>
      <c r="G3" s="14"/>
      <c r="H3" s="14"/>
    </row>
    <row r="4" spans="1:8" x14ac:dyDescent="0.45">
      <c r="A4" s="6" t="s">
        <v>185</v>
      </c>
      <c r="B4" s="6" t="s">
        <v>186</v>
      </c>
      <c r="C4" s="6" t="s">
        <v>187</v>
      </c>
      <c r="D4" s="6" t="s">
        <v>188</v>
      </c>
      <c r="E4" s="6" t="s">
        <v>189</v>
      </c>
      <c r="F4" s="6" t="s">
        <v>190</v>
      </c>
      <c r="G4" s="6" t="s">
        <v>191</v>
      </c>
      <c r="H4" s="6" t="s">
        <v>18</v>
      </c>
    </row>
    <row r="5" spans="1:8" x14ac:dyDescent="0.45">
      <c r="A5" s="11" t="s">
        <v>192</v>
      </c>
      <c r="B5" s="11" t="s">
        <v>193</v>
      </c>
      <c r="C5" s="11" t="s">
        <v>194</v>
      </c>
      <c r="D5" s="11" t="s">
        <v>195</v>
      </c>
      <c r="E5" s="11" t="s">
        <v>196</v>
      </c>
      <c r="F5" s="9" t="s">
        <v>197</v>
      </c>
      <c r="G5" s="9" t="s">
        <v>60</v>
      </c>
      <c r="H5" s="11" t="s">
        <v>198</v>
      </c>
    </row>
    <row r="6" spans="1:8" x14ac:dyDescent="0.45">
      <c r="A6" s="11" t="s">
        <v>199</v>
      </c>
      <c r="B6" s="11" t="s">
        <v>200</v>
      </c>
      <c r="C6" s="11" t="s">
        <v>201</v>
      </c>
      <c r="D6" s="11" t="s">
        <v>202</v>
      </c>
      <c r="E6" s="11" t="s">
        <v>203</v>
      </c>
      <c r="F6" s="9" t="s">
        <v>204</v>
      </c>
      <c r="G6" s="9" t="s">
        <v>60</v>
      </c>
      <c r="H6" s="11" t="s">
        <v>205</v>
      </c>
    </row>
    <row r="10" spans="1:8" ht="15.75" x14ac:dyDescent="0.5">
      <c r="A10" s="24" t="s">
        <v>206</v>
      </c>
      <c r="B10" s="14"/>
      <c r="C10" s="14"/>
      <c r="D10" s="14"/>
      <c r="E10" s="14"/>
      <c r="F10" s="14"/>
      <c r="G10" s="14"/>
      <c r="H10" s="14"/>
    </row>
    <row r="11" spans="1:8" x14ac:dyDescent="0.45">
      <c r="A11" s="14" t="s">
        <v>207</v>
      </c>
      <c r="B11" s="14"/>
      <c r="C11" s="14"/>
      <c r="D11" s="14"/>
      <c r="E11" s="14"/>
      <c r="F11" s="14"/>
      <c r="G11" s="14"/>
      <c r="H11" s="14"/>
    </row>
    <row r="12" spans="1:8" x14ac:dyDescent="0.45">
      <c r="A12" s="14" t="s">
        <v>208</v>
      </c>
      <c r="B12" s="14"/>
      <c r="C12" s="14"/>
      <c r="D12" s="14"/>
      <c r="E12" s="14"/>
      <c r="F12" s="14"/>
      <c r="G12" s="14"/>
      <c r="H12" s="14"/>
    </row>
    <row r="13" spans="1:8" x14ac:dyDescent="0.45">
      <c r="A13" s="14" t="s">
        <v>209</v>
      </c>
      <c r="B13" s="14"/>
      <c r="C13" s="14"/>
      <c r="D13" s="14"/>
      <c r="E13" s="14"/>
      <c r="F13" s="14"/>
      <c r="G13" s="14"/>
      <c r="H13" s="14"/>
    </row>
    <row r="14" spans="1:8" x14ac:dyDescent="0.45">
      <c r="A14" s="14" t="s">
        <v>210</v>
      </c>
      <c r="B14" s="14"/>
      <c r="C14" s="14"/>
      <c r="D14" s="14"/>
      <c r="E14" s="14"/>
      <c r="F14" s="14"/>
      <c r="G14" s="14"/>
      <c r="H14" s="14"/>
    </row>
    <row r="15" spans="1:8" x14ac:dyDescent="0.45">
      <c r="A15" s="14" t="s">
        <v>211</v>
      </c>
      <c r="B15" s="14"/>
      <c r="C15" s="14"/>
      <c r="D15" s="14"/>
      <c r="E15" s="14"/>
      <c r="F15" s="14"/>
      <c r="G15" s="14"/>
      <c r="H15" s="14"/>
    </row>
    <row r="16" spans="1:8" x14ac:dyDescent="0.45">
      <c r="A16" s="14" t="s">
        <v>212</v>
      </c>
      <c r="B16" s="14"/>
      <c r="C16" s="14"/>
      <c r="D16" s="14"/>
      <c r="E16" s="14"/>
      <c r="F16" s="14"/>
      <c r="G16" s="14"/>
      <c r="H16" s="14"/>
    </row>
  </sheetData>
  <mergeCells count="9">
    <mergeCell ref="A1:H1"/>
    <mergeCell ref="A12:H12"/>
    <mergeCell ref="A3:H3"/>
    <mergeCell ref="A15:H15"/>
    <mergeCell ref="A16:H16"/>
    <mergeCell ref="A10:H10"/>
    <mergeCell ref="A13:H13"/>
    <mergeCell ref="A11:H11"/>
    <mergeCell ref="A14:H14"/>
  </mergeCells>
  <dataValidations count="1">
    <dataValidation type="list" allowBlank="1" sqref="G5:G100" xr:uid="{00000000-0002-0000-0500-000000000000}">
      <formula1>"Yes,No,Pending"</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0"/>
  <sheetViews>
    <sheetView workbookViewId="0"/>
  </sheetViews>
  <sheetFormatPr defaultRowHeight="14.25" x14ac:dyDescent="0.45"/>
  <cols>
    <col min="1" max="1" width="60" customWidth="1"/>
    <col min="2" max="2" width="15" customWidth="1"/>
    <col min="3" max="3" width="20" customWidth="1"/>
    <col min="4" max="4" width="15" customWidth="1"/>
  </cols>
  <sheetData>
    <row r="1" spans="1:4" ht="21" x14ac:dyDescent="0.65">
      <c r="A1" s="17" t="s">
        <v>213</v>
      </c>
      <c r="B1" s="14"/>
      <c r="C1" s="14"/>
      <c r="D1" s="14"/>
    </row>
    <row r="3" spans="1:4" x14ac:dyDescent="0.45">
      <c r="A3" s="20" t="s">
        <v>214</v>
      </c>
      <c r="B3" s="14"/>
      <c r="C3" s="14"/>
      <c r="D3" s="14"/>
    </row>
    <row r="4" spans="1:4" x14ac:dyDescent="0.45">
      <c r="A4" s="6" t="s">
        <v>215</v>
      </c>
      <c r="B4" s="6" t="s">
        <v>101</v>
      </c>
      <c r="C4" s="6" t="s">
        <v>216</v>
      </c>
      <c r="D4" s="6" t="s">
        <v>190</v>
      </c>
    </row>
    <row r="5" spans="1:4" x14ac:dyDescent="0.45">
      <c r="A5" s="12" t="s">
        <v>217</v>
      </c>
      <c r="B5" s="12"/>
      <c r="C5" s="12"/>
      <c r="D5" s="12"/>
    </row>
    <row r="6" spans="1:4" x14ac:dyDescent="0.45">
      <c r="A6" s="12" t="s">
        <v>218</v>
      </c>
      <c r="B6" s="12"/>
      <c r="C6" s="12"/>
      <c r="D6" s="12"/>
    </row>
    <row r="7" spans="1:4" x14ac:dyDescent="0.45">
      <c r="A7" s="12" t="s">
        <v>219</v>
      </c>
      <c r="B7" s="12"/>
      <c r="C7" s="12"/>
      <c r="D7" s="12"/>
    </row>
    <row r="8" spans="1:4" x14ac:dyDescent="0.45">
      <c r="A8" s="12" t="s">
        <v>220</v>
      </c>
      <c r="B8" s="12"/>
      <c r="C8" s="12"/>
      <c r="D8" s="12"/>
    </row>
    <row r="9" spans="1:4" x14ac:dyDescent="0.45">
      <c r="A9" s="12" t="s">
        <v>221</v>
      </c>
      <c r="B9" s="12"/>
      <c r="C9" s="12"/>
      <c r="D9" s="12"/>
    </row>
    <row r="10" spans="1:4" x14ac:dyDescent="0.45">
      <c r="A10" s="12" t="s">
        <v>222</v>
      </c>
      <c r="B10" s="12"/>
      <c r="C10" s="12"/>
      <c r="D10" s="12"/>
    </row>
    <row r="11" spans="1:4" x14ac:dyDescent="0.45">
      <c r="A11" s="12" t="s">
        <v>223</v>
      </c>
      <c r="B11" s="12"/>
      <c r="C11" s="12"/>
      <c r="D11" s="12"/>
    </row>
    <row r="12" spans="1:4" x14ac:dyDescent="0.45">
      <c r="A12" s="12" t="s">
        <v>224</v>
      </c>
      <c r="B12" s="12"/>
      <c r="C12" s="12"/>
      <c r="D12" s="12"/>
    </row>
    <row r="13" spans="1:4" x14ac:dyDescent="0.45">
      <c r="A13" s="12" t="s">
        <v>225</v>
      </c>
      <c r="B13" s="12"/>
      <c r="C13" s="12"/>
      <c r="D13" s="12"/>
    </row>
    <row r="14" spans="1:4" x14ac:dyDescent="0.45">
      <c r="A14" s="12" t="s">
        <v>226</v>
      </c>
      <c r="B14" s="12"/>
      <c r="C14" s="12"/>
      <c r="D14" s="12"/>
    </row>
    <row r="15" spans="1:4" x14ac:dyDescent="0.45">
      <c r="A15" s="12" t="s">
        <v>227</v>
      </c>
      <c r="B15" s="12"/>
      <c r="C15" s="12"/>
      <c r="D15" s="12"/>
    </row>
    <row r="16" spans="1:4" x14ac:dyDescent="0.45">
      <c r="A16" s="12" t="s">
        <v>228</v>
      </c>
      <c r="B16" s="12"/>
      <c r="C16" s="12"/>
      <c r="D16" s="12"/>
    </row>
    <row r="17" spans="1:4" x14ac:dyDescent="0.45">
      <c r="A17" s="12" t="s">
        <v>229</v>
      </c>
      <c r="B17" s="12"/>
      <c r="C17" s="12"/>
      <c r="D17" s="12"/>
    </row>
    <row r="18" spans="1:4" x14ac:dyDescent="0.45">
      <c r="A18" s="12" t="s">
        <v>230</v>
      </c>
      <c r="B18" s="12"/>
      <c r="C18" s="12"/>
      <c r="D18" s="12"/>
    </row>
    <row r="19" spans="1:4" x14ac:dyDescent="0.45">
      <c r="A19" s="12" t="s">
        <v>231</v>
      </c>
      <c r="B19" s="12"/>
      <c r="C19" s="12"/>
      <c r="D19" s="12"/>
    </row>
    <row r="20" spans="1:4" x14ac:dyDescent="0.45">
      <c r="A20" s="12" t="s">
        <v>232</v>
      </c>
      <c r="B20" s="12"/>
      <c r="C20" s="12"/>
      <c r="D20" s="12"/>
    </row>
    <row r="21" spans="1:4" x14ac:dyDescent="0.45">
      <c r="A21" s="12" t="s">
        <v>233</v>
      </c>
      <c r="B21" s="12"/>
      <c r="C21" s="12"/>
      <c r="D21" s="12"/>
    </row>
    <row r="22" spans="1:4" x14ac:dyDescent="0.45">
      <c r="A22" s="12" t="s">
        <v>234</v>
      </c>
      <c r="B22" s="12"/>
      <c r="C22" s="12"/>
      <c r="D22" s="12"/>
    </row>
    <row r="24" spans="1:4" ht="15.75" x14ac:dyDescent="0.5">
      <c r="A24" s="24" t="s">
        <v>235</v>
      </c>
      <c r="B24" s="14"/>
      <c r="C24" s="14"/>
      <c r="D24" s="14"/>
    </row>
    <row r="25" spans="1:4" x14ac:dyDescent="0.45">
      <c r="A25" s="25" t="s">
        <v>236</v>
      </c>
      <c r="B25" s="14"/>
      <c r="C25" s="14"/>
      <c r="D25" s="14"/>
    </row>
    <row r="26" spans="1:4" x14ac:dyDescent="0.45">
      <c r="A26" s="14"/>
      <c r="B26" s="14"/>
      <c r="C26" s="14"/>
      <c r="D26" s="14"/>
    </row>
    <row r="27" spans="1:4" x14ac:dyDescent="0.45">
      <c r="A27" s="14"/>
      <c r="B27" s="14"/>
      <c r="C27" s="14"/>
      <c r="D27" s="14"/>
    </row>
    <row r="28" spans="1:4" x14ac:dyDescent="0.45">
      <c r="A28" s="14"/>
      <c r="B28" s="14"/>
      <c r="C28" s="14"/>
      <c r="D28" s="14"/>
    </row>
    <row r="29" spans="1:4" x14ac:dyDescent="0.45">
      <c r="A29" s="14"/>
      <c r="B29" s="14"/>
      <c r="C29" s="14"/>
      <c r="D29" s="14"/>
    </row>
    <row r="30" spans="1:4" x14ac:dyDescent="0.45">
      <c r="A30" s="14"/>
      <c r="B30" s="14"/>
      <c r="C30" s="14"/>
      <c r="D30" s="14"/>
    </row>
  </sheetData>
  <mergeCells count="4">
    <mergeCell ref="A1:D1"/>
    <mergeCell ref="A25:D30"/>
    <mergeCell ref="A24:D24"/>
    <mergeCell ref="A3:D3"/>
  </mergeCells>
  <dataValidations count="1">
    <dataValidation type="list" allowBlank="1" sqref="B5:B22" xr:uid="{00000000-0002-0000-0600-000000000000}">
      <formula1>"Yes,No,N/A"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Filing Requirements</vt:lpstr>
      <vt:lpstr>Schedule Checklist</vt:lpstr>
      <vt:lpstr>Deadline Tracker</vt:lpstr>
      <vt:lpstr>Public Support Calculator</vt:lpstr>
      <vt:lpstr>Related Party Log</vt:lpstr>
      <vt:lpstr>Board Review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 Kennedy</cp:lastModifiedBy>
  <dcterms:created xsi:type="dcterms:W3CDTF">2026-05-06T18:30:54Z</dcterms:created>
  <dcterms:modified xsi:type="dcterms:W3CDTF">2026-05-06T18:35:39Z</dcterms:modified>
</cp:coreProperties>
</file>